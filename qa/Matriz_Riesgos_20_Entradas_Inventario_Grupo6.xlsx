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gistro de riesgos" sheetId="3" state="visible" r:id="rId3"/>
    <sheet xmlns:r="http://schemas.openxmlformats.org/officeDocument/2006/relationships" name="Matriz 3x3" sheetId="4" state="visible" r:id="rId4"/>
    <sheet xmlns:r="http://schemas.openxmlformats.org/officeDocument/2006/relationships" name="Resumen" sheetId="5" state="visible" r:id="rId5"/>
  </sheets>
  <definedNames>
    <definedName name="_xlnm._FilterDatabase" localSheetId="2" hidden="1">'Registro de riesgos'!$A$4:$Q$44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C9A227"/>
      <sz val="10"/>
    </font>
    <font>
      <name val="Calibri"/>
      <charset val="1"/>
      <family val="0"/>
      <b val="1"/>
      <color rgb="FF0B3D59"/>
      <sz val="20"/>
    </font>
    <font>
      <name val="Calibri"/>
      <charset val="1"/>
      <family val="0"/>
      <i val="1"/>
      <color rgb="FF222222"/>
      <sz val="11"/>
    </font>
    <font>
      <name val="Calibri"/>
      <charset val="1"/>
      <family val="0"/>
      <b val="1"/>
      <color rgb="FF0B3D59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B3D59"/>
      <sz val="14"/>
    </font>
    <font>
      <name val="Calibri"/>
      <charset val="1"/>
      <family val="0"/>
      <color rgb="FF222222"/>
      <sz val="11"/>
    </font>
    <font>
      <name val="Calibri"/>
      <charset val="1"/>
      <family val="0"/>
      <b val="1"/>
      <color rgb="FF222222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666666"/>
      <sz val="10"/>
    </font>
    <font>
      <name val="Calibri"/>
      <charset val="1"/>
      <family val="0"/>
      <b val="1"/>
      <color rgb="FF0B3D59"/>
      <sz val="18"/>
    </font>
    <font>
      <name val="Calibri"/>
      <charset val="1"/>
      <family val="0"/>
      <b val="1"/>
      <color rgb="FFC9A227"/>
      <sz val="13"/>
    </font>
    <font>
      <name val="Calibri"/>
      <charset val="1"/>
      <family val="0"/>
      <b val="1"/>
      <color rgb="FF0B3D59"/>
      <sz val="16"/>
    </font>
    <font>
      <name val="Calibri"/>
      <charset val="1"/>
      <family val="0"/>
      <i val="1"/>
      <color rgb="FF222222"/>
      <sz val="10"/>
    </font>
  </fonts>
  <fills count="8">
    <fill>
      <patternFill/>
    </fill>
    <fill>
      <patternFill patternType="gray125"/>
    </fill>
    <fill>
      <patternFill patternType="solid">
        <fgColor rgb="FFFFF4CC"/>
        <bgColor rgb="FFEDEFF2"/>
      </patternFill>
    </fill>
    <fill>
      <patternFill patternType="solid">
        <fgColor rgb="FFEDEFF2"/>
        <bgColor rgb="FFFFFFFF"/>
      </patternFill>
    </fill>
    <fill>
      <patternFill patternType="solid">
        <fgColor rgb="FFB83A3A"/>
        <bgColor rgb="FF993366"/>
      </patternFill>
    </fill>
    <fill>
      <patternFill patternType="solid">
        <fgColor rgb="FFE0B324"/>
        <bgColor rgb="FFC9A227"/>
      </patternFill>
    </fill>
    <fill>
      <patternFill patternType="solid">
        <fgColor rgb="FF2E7D4F"/>
        <bgColor rgb="FF008080"/>
      </patternFill>
    </fill>
    <fill>
      <patternFill patternType="solid">
        <fgColor rgb="FF0B3D59"/>
        <bgColor rgb="FF222222"/>
      </patternFill>
    </fill>
  </fills>
  <borders count="2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 wrapText="1"/>
    </xf>
    <xf numFmtId="0" fontId="11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 wrapText="1"/>
    </xf>
    <xf numFmtId="0" fontId="11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0B3D59"/>
          <bgColor rgb="FF000000"/>
        </patternFill>
      </fill>
    </dxf>
    <dxf>
      <fill>
        <patternFill patternType="solid">
          <fgColor rgb="FFEDEF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B83A3A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E0B324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2E7D4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3A3A"/>
      <rgbColor rgb="FFFFF4CC"/>
      <rgbColor rgb="FFEDEFF2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324"/>
      <rgbColor rgb="FFC9A227"/>
      <rgbColor rgb="FFFF6600"/>
      <rgbColor rgb="FF666666"/>
      <rgbColor rgb="FF969696"/>
      <rgbColor rgb="FF0B3D59"/>
      <rgbColor rgb="FF2E7D4F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C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24" customWidth="1" style="32" min="2" max="2"/>
    <col width="95" customWidth="1" style="32" min="3" max="3"/>
  </cols>
  <sheetData>
    <row r="2" ht="15" customHeight="1" s="33">
      <c r="B2" s="34" t="inlineStr">
        <is>
          <t>UNIVERSIDAD DE VALPARAÍSO · CIN 421 / INF423 — Prueba de Sistemas · 2° Semestre 2026</t>
        </is>
      </c>
    </row>
    <row r="3" ht="24.45" customHeight="1" s="33">
      <c r="B3" s="35" t="inlineStr">
        <is>
          <t>Plantilla · Matriz de Riesgos</t>
        </is>
      </c>
    </row>
    <row r="4" ht="15" customHeight="1" s="33">
      <c r="B4" s="36" t="inlineStr">
        <is>
          <t>Proyecto TicketU · un archivo por grupo QA y microservicio · Entrega 1</t>
        </is>
      </c>
    </row>
    <row r="6" ht="15" customHeight="1" s="33">
      <c r="B6" s="37" t="inlineStr">
        <is>
          <t>Grupo QA</t>
        </is>
      </c>
      <c r="C6" s="38" t="inlineStr">
        <is>
          <t>Grupo 6 (Tablero GitHub Projects) / Módulo 3 (Frontend)</t>
        </is>
      </c>
    </row>
    <row r="7" ht="15" customHeight="1" s="33">
      <c r="B7" s="37" t="inlineStr">
        <is>
          <t>Microservicio</t>
        </is>
      </c>
      <c r="C7" s="38" t="inlineStr">
        <is>
          <t>Entradas / Inventario</t>
        </is>
      </c>
    </row>
    <row r="8" ht="15" customHeight="1" s="33">
      <c r="B8" s="37" t="inlineStr">
        <is>
          <t>Equipo TITEC</t>
        </is>
      </c>
      <c r="C8" s="38" t="inlineStr">
        <is>
          <t>Renato Herrera, Felipe Castro, Sebastián Fuentes, Esteban Quinteros, Bastián Parra (QA)</t>
        </is>
      </c>
    </row>
    <row r="9" ht="15" customHeight="1" s="33">
      <c r="B9" s="37" t="inlineStr">
        <is>
          <t>Versión / entrega</t>
        </is>
      </c>
      <c r="C9" s="38" t="inlineStr">
        <is>
          <t>v1.0 / Entrega 1 (Sprint 1)</t>
        </is>
      </c>
    </row>
    <row r="10" ht="15" customHeight="1" s="33">
      <c r="B10" s="37" t="inlineStr">
        <is>
          <t>Fecha</t>
        </is>
      </c>
      <c r="C10" s="38" t="inlineStr">
        <is>
          <t>02/10/2026</t>
        </is>
      </c>
    </row>
    <row r="12" ht="17.35" customHeight="1" s="33">
      <c r="B12" s="39" t="inlineStr">
        <is>
          <t>Cómo usarla</t>
        </is>
      </c>
    </row>
    <row r="13" ht="31.5" customHeight="1" s="33">
      <c r="B13" s="37" t="inlineStr">
        <is>
          <t>1. Identificar</t>
        </is>
      </c>
      <c r="C13" s="40" t="inlineStr">
        <is>
          <t>En «Registro de riesgos», escriban un riesgo por fila: al menos 8 de producto y 3 de proyecto. Fuentes: requisitos, historias de usuario, contrato OpenAPI y estrategia del grupo.</t>
        </is>
      </c>
    </row>
    <row r="14" ht="31.5" customHeight="1" s="33">
      <c r="B14" s="37" t="inlineStr">
        <is>
          <t>2. Evaluar</t>
        </is>
      </c>
      <c r="C14" s="40" t="inlineStr">
        <is>
          <t>Asignen Probabilidad e Impacto de 1 a 3 según la hoja «Escalas», con acuerdo de todo el grupo.</t>
        </is>
      </c>
    </row>
    <row r="15" ht="31.5" customHeight="1" s="33">
      <c r="B15" s="37" t="inlineStr">
        <is>
          <t>3. Calcular</t>
        </is>
      </c>
      <c r="C15" s="40" t="inlineStr">
        <is>
          <t>Nivel (P × I), Clasificación e Importancia TestLink se calculan solos: no editen las celdas grises.</t>
        </is>
      </c>
    </row>
    <row r="16" ht="31.5" customHeight="1" s="33">
      <c r="B16" s="37" t="inlineStr">
        <is>
          <t>4. Responder</t>
        </is>
      </c>
      <c r="C16" s="40" t="inlineStr">
        <is>
          <t>Elijan la respuesta (Mitigar con pruebas, Aceptar, Transferir, Plan de contingencia) y escriban la técnica o acción concreta.</t>
        </is>
      </c>
    </row>
    <row r="17" ht="31.5" customHeight="1" s="33">
      <c r="B17" s="37" t="inlineStr">
        <is>
          <t>5. Priorizar</t>
        </is>
      </c>
      <c r="C17" s="40" t="inlineStr">
        <is>
          <t>Definan el orden de ejecución: primero los altos, respetando dependencias técnicas y lógicas.</t>
        </is>
      </c>
    </row>
    <row r="18" ht="31.5" customHeight="1" s="33">
      <c r="B18" s="37" t="inlineStr">
        <is>
          <t>6. Trazar</t>
        </is>
      </c>
      <c r="C18" s="40" t="inlineStr">
        <is>
          <t>Anoten el requisito o HU de origen y los IDs de los casos de TestLink que cubren cada riesgo.</t>
        </is>
      </c>
    </row>
    <row r="19" ht="31.5" customHeight="1" s="33">
      <c r="B19" s="37" t="inlineStr">
        <is>
          <t>7. Monitorear</t>
        </is>
      </c>
      <c r="C19" s="40" t="inlineStr">
        <is>
          <t>Actualicen Estado y Revisión en cada entrega. Las hojas «Matriz 3x3» y «Resumen» se actualizan solas.</t>
        </is>
      </c>
    </row>
    <row r="21" ht="17.35" customHeight="1" s="33">
      <c r="B21" s="39" t="inlineStr">
        <is>
          <t>Leyenda</t>
        </is>
      </c>
    </row>
    <row r="22" ht="15" customHeight="1" s="33">
      <c r="B22" s="41" t="inlineStr">
        <is>
          <t>Celda amarilla</t>
        </is>
      </c>
      <c r="C22" s="42" t="inlineStr">
        <is>
          <t>Para completar por el grupo.</t>
        </is>
      </c>
    </row>
    <row r="23" ht="15" customHeight="1" s="33">
      <c r="B23" s="43" t="inlineStr">
        <is>
          <t>Celda gris</t>
        </is>
      </c>
      <c r="C23" s="42" t="inlineStr">
        <is>
          <t>Fórmula: se calcula sola, no editar.</t>
        </is>
      </c>
    </row>
    <row r="24" ht="15" customHeight="1" s="33">
      <c r="B24" s="44" t="inlineStr">
        <is>
          <t>Alto (6–9)</t>
        </is>
      </c>
      <c r="C24" s="42" t="inlineStr">
        <is>
          <t>Clasificación por nivel de riesgo (convención del curso).</t>
        </is>
      </c>
    </row>
    <row r="25" ht="15" customHeight="1" s="33">
      <c r="B25" s="45" t="inlineStr">
        <is>
          <t>Medio (3–4)</t>
        </is>
      </c>
      <c r="C25" s="42" t="inlineStr">
        <is>
          <t>Clasificación por nivel de riesgo (convención del curso).</t>
        </is>
      </c>
    </row>
    <row r="26" ht="15" customHeight="1" s="33">
      <c r="B26" s="46" t="inlineStr">
        <is>
          <t>Bajo (1–2)</t>
        </is>
      </c>
      <c r="C26" s="42" t="inlineStr">
        <is>
          <t>Clasificación por nivel de riesgo (convención del curso).</t>
        </is>
      </c>
    </row>
    <row r="28" ht="15" customHeight="1" s="33">
      <c r="B28" s="47" t="inlineStr">
        <is>
          <t>Fuentes: ISTQB CTFL 5.5, ISTQB Agile Tester 3.2.1 y Crispin &amp; Gregory, Agile Testing, cap. 18. El curso usa una escala 1–3 por simplicidad.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0" customWidth="1" style="32" min="2" max="2"/>
    <col width="16" customWidth="1" style="32" min="3" max="3"/>
    <col width="90" customWidth="1" style="32" min="4" max="4"/>
  </cols>
  <sheetData>
    <row r="2" ht="22.05" customHeight="1" s="33">
      <c r="B2" s="48" t="inlineStr">
        <is>
          <t>Escalas de evaluación</t>
        </is>
      </c>
    </row>
    <row r="3" ht="15" customHeight="1" s="33">
      <c r="B3" s="36" t="inlineStr">
        <is>
          <t>Acuerden en el grupo qué significa cada valor antes de puntuar.</t>
        </is>
      </c>
    </row>
    <row r="5" ht="16.15" customHeight="1" s="33">
      <c r="B5" s="49" t="inlineStr">
        <is>
          <t>Probabilidad: ¿qué tan probable es que falle?</t>
        </is>
      </c>
    </row>
    <row r="6" ht="15" customHeight="1" s="33">
      <c r="B6" s="50" t="inlineStr">
        <is>
          <t>Valor</t>
        </is>
      </c>
      <c r="C6" s="50" t="inlineStr">
        <is>
          <t>Nivel</t>
        </is>
      </c>
      <c r="D6" s="50" t="inlineStr">
        <is>
          <t>Criterio</t>
        </is>
      </c>
    </row>
    <row r="7" ht="30" customHeight="1" s="33">
      <c r="B7" s="51" t="n">
        <v>1</v>
      </c>
      <c r="C7" s="51" t="inlineStr">
        <is>
          <t>Baja</t>
        </is>
      </c>
      <c r="D7" s="52" t="inlineStr">
        <is>
          <t>Regla simple, código estable, sin integraciones.</t>
        </is>
      </c>
    </row>
    <row r="8" ht="30" customHeight="1" s="33">
      <c r="B8" s="51" t="n">
        <v>2</v>
      </c>
      <c r="C8" s="51" t="inlineStr">
        <is>
          <t>Media</t>
        </is>
      </c>
      <c r="D8" s="52" t="inlineStr">
        <is>
          <t>Regla con varias condiciones o código cambiado recientemente.</t>
        </is>
      </c>
    </row>
    <row r="9" ht="30" customHeight="1" s="33">
      <c r="B9" s="51" t="n">
        <v>3</v>
      </c>
      <c r="C9" s="51" t="inlineStr">
        <is>
          <t>Alta</t>
        </is>
      </c>
      <c r="D9" s="52" t="inlineStr">
        <is>
          <t>Regla compleja, código nuevo, integraciones o mensajes asíncronos, tecnología nueva para el equipo.</t>
        </is>
      </c>
    </row>
    <row r="11" ht="16.15" customHeight="1" s="33">
      <c r="B11" s="49" t="inlineStr">
        <is>
          <t>Impacto: ¿cuánto daño hace si falla?</t>
        </is>
      </c>
    </row>
    <row r="12" ht="15" customHeight="1" s="33">
      <c r="B12" s="50" t="inlineStr">
        <is>
          <t>Valor</t>
        </is>
      </c>
      <c r="C12" s="50" t="inlineStr">
        <is>
          <t>Nivel</t>
        </is>
      </c>
      <c r="D12" s="50" t="inlineStr">
        <is>
          <t>Criterio</t>
        </is>
      </c>
    </row>
    <row r="13" ht="30" customHeight="1" s="33">
      <c r="B13" s="51" t="n">
        <v>1</v>
      </c>
      <c r="C13" s="51" t="inlineStr">
        <is>
          <t>Bajo</t>
        </is>
      </c>
      <c r="D13" s="52" t="inlineStr">
        <is>
          <t>Molestia menor con alternativa; no afecta dinero ni acceso al evento.</t>
        </is>
      </c>
    </row>
    <row r="14" ht="30" customHeight="1" s="33">
      <c r="B14" s="51" t="n">
        <v>2</v>
      </c>
      <c r="C14" s="51" t="inlineStr">
        <is>
          <t>Medio</t>
        </is>
      </c>
      <c r="D14" s="52" t="inlineStr">
        <is>
          <t>Afecta a un grupo de usuarios o una función importante con alternativa difícil.</t>
        </is>
      </c>
    </row>
    <row r="15" ht="30" customHeight="1" s="33">
      <c r="B15" s="51" t="n">
        <v>3</v>
      </c>
      <c r="C15" s="51" t="inlineStr">
        <is>
          <t>Alto</t>
        </is>
      </c>
      <c r="D15" s="52" t="inlineStr">
        <is>
          <t>Dinero mal cobrado, asistentes sin poder entrar, datos personales expuestos o reputación del evento.</t>
        </is>
      </c>
    </row>
    <row r="17" ht="16.15" customHeight="1" s="33">
      <c r="B17" s="49" t="inlineStr">
        <is>
          <t>Nivel = Probabilidad × Impacto</t>
        </is>
      </c>
    </row>
    <row r="18" ht="15" customHeight="1" s="33">
      <c r="B18" s="50" t="inlineStr">
        <is>
          <t>Rango</t>
        </is>
      </c>
      <c r="C18" s="50" t="inlineStr">
        <is>
          <t>Clasificación</t>
        </is>
      </c>
      <c r="D18" s="50" t="inlineStr">
        <is>
          <t>Qué implica (profundidad de prueba)</t>
        </is>
      </c>
    </row>
    <row r="19" ht="31.5" customHeight="1" s="33">
      <c r="B19" s="51" t="inlineStr">
        <is>
          <t>6 a 9</t>
        </is>
      </c>
      <c r="C19" s="53" t="inlineStr">
        <is>
          <t>Alto</t>
        </is>
      </c>
      <c r="D19" s="52" t="inlineStr">
        <is>
          <t>Primero y a fondo: varias técnicas, positivos y negativos, retest obligatorio, también en E2E. Importancia Alta en TestLink.</t>
        </is>
      </c>
    </row>
    <row r="20" ht="31.5" customHeight="1" s="33">
      <c r="B20" s="51" t="inlineStr">
        <is>
          <t>3 a 4</t>
        </is>
      </c>
      <c r="C20" s="54" t="inlineStr">
        <is>
          <t>Medio</t>
        </is>
      </c>
      <c r="D20" s="52" t="inlineStr">
        <is>
          <t>Técnica principal y valores límite; se ejecuta después de los altos. Importancia Media.</t>
        </is>
      </c>
    </row>
    <row r="21" ht="31.5" customHeight="1" s="33">
      <c r="B21" s="51" t="inlineStr">
        <is>
          <t>1 a 2</t>
        </is>
      </c>
      <c r="C21" s="55" t="inlineStr">
        <is>
          <t>Bajo</t>
        </is>
      </c>
      <c r="D21" s="52" t="inlineStr">
        <is>
          <t>Pocos casos o smoke; se puede aceptar y documentar. Importancia Baja.</t>
        </is>
      </c>
    </row>
    <row r="23" ht="16.15" customHeight="1" s="33">
      <c r="B23" s="49" t="inlineStr">
        <is>
          <t>Respuesta al riesgo</t>
        </is>
      </c>
    </row>
    <row r="24" ht="15" customHeight="1" s="33">
      <c r="B24" s="50" t="inlineStr">
        <is>
          <t>Respuesta</t>
        </is>
      </c>
      <c r="C24" s="50" t="n"/>
      <c r="D24" s="50" t="inlineStr">
        <is>
          <t>Cuándo usarla</t>
        </is>
      </c>
    </row>
    <row r="25" ht="30" customHeight="1" s="33">
      <c r="B25" s="51" t="inlineStr">
        <is>
          <t>Mitigar con pruebas</t>
        </is>
      </c>
      <c r="C25" s="51" t="n"/>
      <c r="D25" s="52" t="inlineStr">
        <is>
          <t>Casos que detecten la falla y reduzcan su probabilidad o su impacto. Respuesta esperada para riesgos de producto alto y medio.</t>
        </is>
      </c>
    </row>
    <row r="26" ht="30" customHeight="1" s="33">
      <c r="B26" s="51" t="inlineStr">
        <is>
          <t>Aceptar</t>
        </is>
      </c>
      <c r="C26" s="51" t="n"/>
      <c r="D26" s="52" t="inlineStr">
        <is>
          <t>Riesgo bajo: se documenta y se prueba lo mínimo.</t>
        </is>
      </c>
    </row>
    <row r="27" ht="30" customHeight="1" s="33">
      <c r="B27" s="51" t="inlineStr">
        <is>
          <t>Transferir</t>
        </is>
      </c>
      <c r="C27" s="51" t="n"/>
      <c r="D27" s="52" t="inlineStr">
        <is>
          <t>Otro lo asume o lo comparte (otro grupo QA, equipo plataforma, otra entrega). Indiquen quién.</t>
        </is>
      </c>
    </row>
    <row r="28" ht="30" customHeight="1" s="33">
      <c r="B28" s="51" t="inlineStr">
        <is>
          <t>Plan de contingencia</t>
        </is>
      </c>
      <c r="C28" s="51" t="n"/>
      <c r="D28" s="52" t="inlineStr">
        <is>
          <t>Qué hará el grupo si el riesgo ocurre. Habitual en riesgos de proyecto.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A1:Q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11" customWidth="1" style="32" min="2" max="2"/>
    <col width="40" customWidth="1" style="32" min="3" max="3"/>
    <col width="14" customWidth="1" style="32" min="4" max="4"/>
    <col width="28" customWidth="1" style="32" min="5" max="5"/>
    <col width="9" customWidth="1" style="32" min="6" max="8"/>
    <col width="12" customWidth="1" style="32" min="9" max="9"/>
    <col width="20" customWidth="1" style="32" min="10" max="10"/>
    <col width="38" customWidth="1" style="32" min="11" max="11"/>
    <col width="10" customWidth="1" style="32" min="12" max="12"/>
    <col width="18" customWidth="1" style="32" min="13" max="13"/>
    <col width="12" customWidth="1" style="32" min="14" max="14"/>
    <col width="16" customWidth="1" style="32" min="15" max="15"/>
    <col width="14" customWidth="1" style="32" min="16" max="17"/>
  </cols>
  <sheetData>
    <row r="1" ht="19.7" customHeight="1" s="33">
      <c r="A1" s="56" t="inlineStr">
        <is>
          <t>Registro de riesgos · Entradas / Inventario · Grupo 6</t>
        </is>
      </c>
    </row>
    <row r="2" ht="15" customHeight="1" s="33">
      <c r="A2" s="57" t="inlineStr">
        <is>
          <t>Amarillo: completar · Gris: fórmula (no editar) · Escala 1–3 (hoja «Escalas»)</t>
        </is>
      </c>
    </row>
    <row r="4" ht="33.75" customHeight="1" s="33">
      <c r="A4" s="50" t="inlineStr">
        <is>
          <t>ID</t>
        </is>
      </c>
      <c r="B4" s="50" t="inlineStr">
        <is>
          <t>Tipo</t>
        </is>
      </c>
      <c r="C4" s="50" t="inlineStr">
        <is>
          <t>Riesgo (qué podría fallar)</t>
        </is>
      </c>
      <c r="D4" s="50" t="inlineStr">
        <is>
          <t>Requisito / HU</t>
        </is>
      </c>
      <c r="E4" s="50" t="inlineStr">
        <is>
          <t>Causa o condición</t>
        </is>
      </c>
      <c r="F4" s="50" t="inlineStr">
        <is>
          <t>Prob. (1-3)</t>
        </is>
      </c>
      <c r="G4" s="50" t="inlineStr">
        <is>
          <t>Impacto (1-3)</t>
        </is>
      </c>
      <c r="H4" s="50" t="inlineStr">
        <is>
          <t>Nivel P×I</t>
        </is>
      </c>
      <c r="I4" s="50" t="inlineStr">
        <is>
          <t>Clasificación</t>
        </is>
      </c>
      <c r="J4" s="50" t="inlineStr">
        <is>
          <t>Respuesta</t>
        </is>
      </c>
      <c r="K4" s="50" t="inlineStr">
        <is>
          <t>Técnica o acción</t>
        </is>
      </c>
      <c r="L4" s="50" t="inlineStr">
        <is>
          <t>Orden de ejecución</t>
        </is>
      </c>
      <c r="M4" s="50" t="inlineStr">
        <is>
          <t>Casos TestLink</t>
        </is>
      </c>
      <c r="N4" s="50" t="inlineStr">
        <is>
          <t>Importancia TestLink</t>
        </is>
      </c>
      <c r="O4" s="50" t="inlineStr">
        <is>
          <t>Responsable</t>
        </is>
      </c>
      <c r="P4" s="50" t="inlineStr">
        <is>
          <t>Estado</t>
        </is>
      </c>
      <c r="Q4" s="50" t="inlineStr">
        <is>
          <t>Revisión (entrega)</t>
        </is>
      </c>
    </row>
    <row r="5" ht="15" customHeight="1" s="33">
      <c r="A5" s="58" t="inlineStr">
        <is>
          <t>R1</t>
        </is>
      </c>
      <c r="B5" s="59" t="inlineStr">
        <is>
          <t>Producto</t>
        </is>
      </c>
      <c r="C5" s="60" t="inlineStr">
        <is>
          <t>Entradas huérfanas si falla la comunicación con Check-in al emitir el código QR (POST /api/v1/checkin/tickets).</t>
        </is>
      </c>
      <c r="D5" s="60" t="inlineStr">
        <is>
          <t>HU-05 / Contrato enviar_qr_generado v2.1</t>
        </is>
      </c>
      <c r="E5" s="60" t="inlineStr">
        <is>
          <t>Caída temporal o timeout del servicio de Check-in (errores HTTP 500/503) tras descontar el stock en Entradas.</t>
        </is>
      </c>
      <c r="F5" s="59" t="n">
        <v>2</v>
      </c>
      <c r="G5" s="59" t="n">
        <v>3</v>
      </c>
      <c r="H5" s="61">
        <f>IF(OR(F5="",G5=""),"",F5*G5)</f>
        <v/>
      </c>
      <c r="I5" s="61">
        <f>IF(H5="","",IF(H5&gt;=6,"Alto",IF(H5&gt;=3,"Medio","Bajo")))</f>
        <v/>
      </c>
      <c r="J5" s="60" t="inlineStr">
        <is>
          <t>Mitigar con pruebas</t>
        </is>
      </c>
      <c r="K5" s="60" t="inlineStr">
        <is>
          <t>Tabla de decisión validando el mecanismo de reintento automático ante errores 500/503 sin bloquear la compra del cliente.</t>
        </is>
      </c>
      <c r="L5" s="59" t="n">
        <v>3</v>
      </c>
      <c r="M5" s="60" t="inlineStr">
        <is>
          <t>CP-15, CP-E2E-01, CP-E2E-02</t>
        </is>
      </c>
      <c r="N5" s="61">
        <f>IF(I5="","",IF(I5="Alto","Alta",IF(I5="Medio","Media","Baja")))</f>
        <v/>
      </c>
      <c r="O5" s="60" t="inlineStr">
        <is>
          <t>Bastián Parra / Sebastián Fuentes</t>
        </is>
      </c>
      <c r="P5" s="59" t="inlineStr">
        <is>
          <t>En mitigación</t>
        </is>
      </c>
      <c r="Q5" s="59" t="inlineStr">
        <is>
          <t>Entrega 1</t>
        </is>
      </c>
    </row>
    <row r="6" ht="15" customHeight="1" s="33">
      <c r="A6" s="58" t="inlineStr">
        <is>
          <t>R2</t>
        </is>
      </c>
      <c r="B6" s="59" t="inlineStr">
        <is>
          <t>Producto</t>
        </is>
      </c>
      <c r="C6" s="60" t="inlineStr">
        <is>
          <t>Incompatibilidad al leer el código QR en puerta por estructura incorrecta del campo qr_data.</t>
        </is>
      </c>
      <c r="D6" s="60" t="inlineStr">
        <is>
          <t>HU-05 / Contrato enviar_qr_generado v2.1</t>
        </is>
      </c>
      <c r="E6" s="60" t="inlineStr">
        <is>
          <t>Envío o persistencia de qr_data como string plano o sin las llaves obligatorias (id_evento e id_entrada) exigidas por regla de negocio.</t>
        </is>
      </c>
      <c r="F6" s="59" t="n">
        <v>2</v>
      </c>
      <c r="G6" s="59" t="n">
        <v>3</v>
      </c>
      <c r="H6" s="61">
        <f>IF(OR(F6="",G6=""),"",F6*G6)</f>
        <v/>
      </c>
      <c r="I6" s="61">
        <f>IF(H6="","",IF(H6&gt;=6,"Alto",IF(H6&gt;=3,"Medio","Bajo")))</f>
        <v/>
      </c>
      <c r="J6" s="60" t="inlineStr">
        <is>
          <t>Mitigar con pruebas</t>
        </is>
      </c>
      <c r="K6" s="60" t="inlineStr">
        <is>
          <t>Partición de equivalencia validando por contrato que qr_data sea un objeto JSON estricto con id_evento e id_entrada obligatorios.</t>
        </is>
      </c>
      <c r="L6" s="59" t="n">
        <v>1</v>
      </c>
      <c r="M6" s="60" t="inlineStr">
        <is>
          <t>CP-12, CP-13, CP-E2E-01, CP-E2E-02</t>
        </is>
      </c>
      <c r="N6" s="61">
        <f>IF(I6="","",IF(I6="Alto","Alta",IF(I6="Medio","Media","Baja")))</f>
        <v/>
      </c>
      <c r="O6" s="60" t="inlineStr">
        <is>
          <t>Bastián Parra / Renato Herrera</t>
        </is>
      </c>
      <c r="P6" s="59" t="inlineStr">
        <is>
          <t>En mitigación</t>
        </is>
      </c>
      <c r="Q6" s="59" t="inlineStr">
        <is>
          <t>Entrega 1</t>
        </is>
      </c>
    </row>
    <row r="7" ht="15" customHeight="1" s="33">
      <c r="A7" s="58" t="inlineStr">
        <is>
          <t>R3</t>
        </is>
      </c>
      <c r="B7" s="59" t="inlineStr">
        <is>
          <t>Producto</t>
        </is>
      </c>
      <c r="C7" s="60" t="inlineStr">
        <is>
          <t>Filas y demoras en el acceso al evento por lentitud en GET /api/v1/entradas/{id_entrada} o en el registro de QR.</t>
        </is>
      </c>
      <c r="D7" s="60" t="inlineStr">
        <is>
          <t>HU-04 / Contrato consultar_entrada v1.0</t>
        </is>
      </c>
      <c r="E7" s="60" t="inlineStr">
        <is>
          <t>Consultas cruzadas entre colecciones para obtener id_evento y nombre_usuario o tiempos de respuesta que superan el SLA (&lt; 300 ms / &lt; 500 ms).</t>
        </is>
      </c>
      <c r="F7" s="59" t="n">
        <v>2</v>
      </c>
      <c r="G7" s="59" t="n">
        <v>3</v>
      </c>
      <c r="H7" s="61">
        <f>IF(OR(F7="",G7=""),"",F7*G7)</f>
        <v/>
      </c>
      <c r="I7" s="61">
        <f>IF(H7="","",IF(H7&gt;=6,"Alto",IF(H7&gt;=3,"Medio","Bajo")))</f>
        <v/>
      </c>
      <c r="J7" s="60" t="inlineStr">
        <is>
          <t>Mitigar con pruebas</t>
        </is>
      </c>
      <c r="K7" s="60" t="inlineStr">
        <is>
          <t>Persistir id_evento y nombre_usuario directamente en la colección entrada y aplicar análisis de valores límite al SLA (&lt; 500 ms) en Postman.</t>
        </is>
      </c>
      <c r="L7" s="59" t="n">
        <v>4</v>
      </c>
      <c r="M7" s="60" t="inlineStr">
        <is>
          <t>CP-11, CP-12, CP-E2E-01, CP-E2E-02</t>
        </is>
      </c>
      <c r="N7" s="61">
        <f>IF(I7="","",IF(I7="Alto","Alta",IF(I7="Medio","Media","Baja")))</f>
        <v/>
      </c>
      <c r="O7" s="60" t="inlineStr">
        <is>
          <t>Bastián Parra / Esteban Quinteros</t>
        </is>
      </c>
      <c r="P7" s="59" t="inlineStr">
        <is>
          <t>En mitigación</t>
        </is>
      </c>
      <c r="Q7" s="59" t="inlineStr">
        <is>
          <t>Entrega 1</t>
        </is>
      </c>
    </row>
    <row r="8" ht="15" customHeight="1" s="33">
      <c r="A8" s="58" t="inlineStr">
        <is>
          <t>R4</t>
        </is>
      </c>
      <c r="B8" s="59" t="inlineStr">
        <is>
          <t>Producto</t>
        </is>
      </c>
      <c r="C8" s="60" t="inlineStr">
        <is>
          <t>Sobreventa de cupos o fallo al emitir la solicitud de notificación cuando stock_actual llega a cero.</t>
        </is>
      </c>
      <c r="D8" s="60" t="inlineStr">
        <is>
          <t>HU-01, HU-02, HU-03, HU-07</t>
        </is>
      </c>
      <c r="E8" s="60" t="inlineStr">
        <is>
          <t>Descuento de stock en inventario_evento sin validar límite inferior cero o fallo al disparar la alerta hacia Notificaciones al agotarse.</t>
        </is>
      </c>
      <c r="F8" s="59" t="n">
        <v>2</v>
      </c>
      <c r="G8" s="59" t="n">
        <v>3</v>
      </c>
      <c r="H8" s="61">
        <f>IF(OR(F8="",G8=""),"",F8*G8)</f>
        <v/>
      </c>
      <c r="I8" s="61">
        <f>IF(H8="","",IF(H8&gt;=6,"Alto",IF(H8&gt;=3,"Medio","Bajo")))</f>
        <v/>
      </c>
      <c r="J8" s="60" t="inlineStr">
        <is>
          <t>Mitigar con pruebas</t>
        </is>
      </c>
      <c r="K8" s="60" t="inlineStr">
        <is>
          <t>Análisis de valores límite sobre el descuento de la última unidad disponible (stock_actual pasa de 1 a 0 vs. de 2 a 1).</t>
        </is>
      </c>
      <c r="L8" s="59" t="n">
        <v>2</v>
      </c>
      <c r="M8" s="60" t="inlineStr">
        <is>
          <t>CP-01, CP-03, CP-16, CP-17, CP-E2E-02</t>
        </is>
      </c>
      <c r="N8" s="61">
        <f>IF(I8="","",IF(I8="Alto","Alta",IF(I8="Medio","Media","Baja")))</f>
        <v/>
      </c>
      <c r="O8" s="60" t="inlineStr">
        <is>
          <t>Bastián Parra / Felipe Castro</t>
        </is>
      </c>
      <c r="P8" s="59" t="inlineStr">
        <is>
          <t>Abierto</t>
        </is>
      </c>
      <c r="Q8" s="59" t="inlineStr">
        <is>
          <t>Entrega 1</t>
        </is>
      </c>
    </row>
    <row r="9" ht="15" customHeight="1" s="33">
      <c r="A9" s="58" t="inlineStr">
        <is>
          <t>R5</t>
        </is>
      </c>
      <c r="B9" s="59" t="inlineStr">
        <is>
          <t>Producto</t>
        </is>
      </c>
      <c r="C9" s="60" t="inlineStr">
        <is>
          <t>Omisión del campo estado_entrada o alteración de datos históricos en la consulta GET /api/v1/entradas/{id_entrada}.</t>
        </is>
      </c>
      <c r="D9" s="60" t="inlineStr">
        <is>
          <t>HU-04 / Contrato consultar_entrada v1.0</t>
        </is>
      </c>
      <c r="E9" s="60" t="inlineStr">
        <is>
          <t>El serializador del endpoint no devuelve el estado actual del ticket en el JSON o no garantiza la inmutabilidad de precio_final_pagado y tipo_acceso.</t>
        </is>
      </c>
      <c r="F9" s="59" t="n">
        <v>3</v>
      </c>
      <c r="G9" s="59" t="n">
        <v>3</v>
      </c>
      <c r="H9" s="61">
        <f>IF(OR(F9="",G9=""),"",F9*G9)</f>
        <v/>
      </c>
      <c r="I9" s="61">
        <f>IF(H9="","",IF(H9&gt;=6,"Alto",IF(H9&gt;=3,"Medio","Bajo")))</f>
        <v/>
      </c>
      <c r="J9" s="60" t="inlineStr">
        <is>
          <t>Mitigar con pruebas</t>
        </is>
      </c>
      <c r="K9" s="60" t="inlineStr">
        <is>
          <t>Partición de equivalencia y revisión de contrato en Postman verificando la presencia de estado_entrada, precio_final_pagado y tipo_acceso.</t>
        </is>
      </c>
      <c r="L9" s="59" t="n">
        <v>5</v>
      </c>
      <c r="M9" s="60" t="inlineStr">
        <is>
          <t>CP-08, CP-E2E-02</t>
        </is>
      </c>
      <c r="N9" s="61">
        <f>IF(I9="","",IF(I9="Alto","Alta",IF(I9="Medio","Media","Baja")))</f>
        <v/>
      </c>
      <c r="O9" s="60" t="inlineStr">
        <is>
          <t>Bastián Parra / Esteban Quinteros</t>
        </is>
      </c>
      <c r="P9" s="59" t="inlineStr">
        <is>
          <t>Materializado</t>
        </is>
      </c>
      <c r="Q9" s="59" t="inlineStr">
        <is>
          <t>Entrega 1</t>
        </is>
      </c>
    </row>
    <row r="10" ht="15" customHeight="1" s="33">
      <c r="A10" s="58" t="inlineStr">
        <is>
          <t>R6</t>
        </is>
      </c>
      <c r="B10" s="59" t="inlineStr">
        <is>
          <t>Producto</t>
        </is>
      </c>
      <c r="C10" s="60" t="inlineStr">
        <is>
          <t>Emisión anticipada de la entrada y su código QR sin contar con la confirmación de pago exitoso en el flujo pagado.</t>
        </is>
      </c>
      <c r="D10" s="60" t="inlineStr">
        <is>
          <t>HU-05, HU-09</t>
        </is>
      </c>
      <c r="E10" s="60" t="inlineStr">
        <is>
          <t>Error en la transición de estados de reserva_entrada que consolida la entrada antes de recibir la aprobación del Microservicio de Pagos.</t>
        </is>
      </c>
      <c r="F10" s="59" t="n">
        <v>2</v>
      </c>
      <c r="G10" s="59" t="n">
        <v>3</v>
      </c>
      <c r="H10" s="61">
        <f>IF(OR(F10="",G10=""),"",F10*G10)</f>
        <v/>
      </c>
      <c r="I10" s="61">
        <f>IF(H10="","",IF(H10&gt;=6,"Alto",IF(H10&gt;=3,"Medio","Bajo")))</f>
        <v/>
      </c>
      <c r="J10" s="60" t="inlineStr">
        <is>
          <t>Mitigar con pruebas</t>
        </is>
      </c>
      <c r="K10" s="60" t="inlineStr">
        <is>
          <t>Transición de estados asegurando que en eventos pagados el QR y el envío a Check-in solo ocurran tras confirmar id_pago aprobado.</t>
        </is>
      </c>
      <c r="L10" s="59" t="n">
        <v>6</v>
      </c>
      <c r="M10" s="60" t="inlineStr">
        <is>
          <t>CP-20, CP-E2E-02</t>
        </is>
      </c>
      <c r="N10" s="61">
        <f>IF(I10="","",IF(I10="Alto","Alta",IF(I10="Medio","Media","Baja")))</f>
        <v/>
      </c>
      <c r="O10" s="60" t="inlineStr">
        <is>
          <t>Sebastián Fuentes / Esteban Quinteros</t>
        </is>
      </c>
      <c r="P10" s="59" t="inlineStr">
        <is>
          <t>Abierto</t>
        </is>
      </c>
      <c r="Q10" s="59" t="inlineStr">
        <is>
          <t>Entrega 1</t>
        </is>
      </c>
    </row>
    <row r="11" ht="15" customHeight="1" s="33">
      <c r="A11" s="58" t="inlineStr">
        <is>
          <t>R7</t>
        </is>
      </c>
      <c r="B11" s="59" t="inlineStr">
        <is>
          <t>Producto</t>
        </is>
      </c>
      <c r="C11" s="60" t="inlineStr">
        <is>
          <t>No liberación automática de los cupos reservados temporalmente (holdId) cuando vence el tiempo límite sin pago.</t>
        </is>
      </c>
      <c r="D11" s="60" t="inlineStr">
        <is>
          <t>HU-03</t>
        </is>
      </c>
      <c r="E11" s="60" t="inlineStr">
        <is>
          <t>Fallo en el control de fecha_expiracion en reserva_entrada cuando el cliente abandona el proceso de checkout.</t>
        </is>
      </c>
      <c r="F11" s="59" t="n">
        <v>2</v>
      </c>
      <c r="G11" s="59" t="n">
        <v>2</v>
      </c>
      <c r="H11" s="61">
        <f>IF(OR(F11="",G11=""),"",F11*G11)</f>
        <v/>
      </c>
      <c r="I11" s="61">
        <f>IF(H11="","",IF(H11&gt;=6,"Alto",IF(H11&gt;=3,"Medio","Bajo")))</f>
        <v/>
      </c>
      <c r="J11" s="60" t="inlineStr">
        <is>
          <t>Mitigar con pruebas</t>
        </is>
      </c>
      <c r="K11" s="60" t="inlineStr">
        <is>
          <t>Transición de estados verificando que al cumplirse fecha_expiracion el estado pase a EXPIRADA y la unidad vuelva al pool de stock_actual.</t>
        </is>
      </c>
      <c r="L11" s="59" t="n">
        <v>7</v>
      </c>
      <c r="M11" s="60" t="inlineStr">
        <is>
          <t>CP-05, CP-06</t>
        </is>
      </c>
      <c r="N11" s="61">
        <f>IF(I11="","",IF(I11="Alto","Alta",IF(I11="Medio","Media","Baja")))</f>
        <v/>
      </c>
      <c r="O11" s="60" t="inlineStr">
        <is>
          <t>Renato Herrera / Bastián Parra</t>
        </is>
      </c>
      <c r="P11" s="59" t="inlineStr">
        <is>
          <t>Abierto</t>
        </is>
      </c>
      <c r="Q11" s="59" t="inlineStr">
        <is>
          <t>Entrega 1</t>
        </is>
      </c>
    </row>
    <row r="12" ht="15" customHeight="1" s="33">
      <c r="A12" s="58" t="inlineStr">
        <is>
          <t>R8</t>
        </is>
      </c>
      <c r="B12" s="59" t="inlineStr">
        <is>
          <t>Producto</t>
        </is>
      </c>
      <c r="C12" s="60" t="inlineStr">
        <is>
          <t>Datos incompletos hacia Check-in por falta de persistencia de nombre_usuario e id_evento en las colecciones de MongoDB.</t>
        </is>
      </c>
      <c r="D12" s="60" t="inlineStr">
        <is>
          <t>HU-03, HU-04, HU-05</t>
        </is>
      </c>
      <c r="E12" s="60" t="inlineStr">
        <is>
          <t>Omisión de los atributos obligatorios nombre_usuario e id_evento al insertar documentos en reserva_entrada y entrada.</t>
        </is>
      </c>
      <c r="F12" s="59" t="n">
        <v>2</v>
      </c>
      <c r="G12" s="59" t="n">
        <v>2</v>
      </c>
      <c r="H12" s="61">
        <f>IF(OR(F12="",G12=""),"",F12*G12)</f>
        <v/>
      </c>
      <c r="I12" s="61">
        <f>IF(H12="","",IF(H12&gt;=6,"Alto",IF(H12&gt;=3,"Medio","Bajo")))</f>
        <v/>
      </c>
      <c r="J12" s="60" t="inlineStr">
        <is>
          <t>Mitigar con pruebas</t>
        </is>
      </c>
      <c r="K12" s="60" t="inlineStr">
        <is>
          <t>Partición de equivalencia comprobando el rechazo HTTP 400 si falta nombre_usuario y su persistencia en base de datos.</t>
        </is>
      </c>
      <c r="L12" s="59" t="n">
        <v>8</v>
      </c>
      <c r="M12" s="60" t="inlineStr">
        <is>
          <t>CP-05, CP-07, CP-08, CP-12</t>
        </is>
      </c>
      <c r="N12" s="61">
        <f>IF(I12="","",IF(I12="Alto","Alta",IF(I12="Medio","Media","Baja")))</f>
        <v/>
      </c>
      <c r="O12" s="60" t="inlineStr">
        <is>
          <t>Renato Herrera / Bastián Parra</t>
        </is>
      </c>
      <c r="P12" s="59" t="inlineStr">
        <is>
          <t>En mitigación</t>
        </is>
      </c>
      <c r="Q12" s="59" t="inlineStr">
        <is>
          <t>Entrega 1</t>
        </is>
      </c>
    </row>
    <row r="13" ht="15" customHeight="1" s="33">
      <c r="A13" s="58" t="inlineStr">
        <is>
          <t>R9</t>
        </is>
      </c>
      <c r="B13" s="59" t="inlineStr">
        <is>
          <t>Producto</t>
        </is>
      </c>
      <c r="C13" s="60" t="inlineStr">
        <is>
          <t>Superación del límite máximo de entradas gratuitas por usuario (maximo_ticket) o selección de cantidad inválida.</t>
        </is>
      </c>
      <c r="D13" s="60" t="inlineStr">
        <is>
          <t>HU-02, HU-08</t>
        </is>
      </c>
      <c r="E13" s="60" t="inlineStr">
        <is>
          <t>Falta de validación de frontera contra maximo_ticket en eventos gratuitos o aceptación de cantidad_entrada &lt;= 0.</t>
        </is>
      </c>
      <c r="F13" s="59" t="n">
        <v>2</v>
      </c>
      <c r="G13" s="59" t="n">
        <v>2</v>
      </c>
      <c r="H13" s="61">
        <f>IF(OR(F13="",G13=""),"",F13*G13)</f>
        <v/>
      </c>
      <c r="I13" s="61">
        <f>IF(H13="","",IF(H13&gt;=6,"Alto",IF(H13&gt;=3,"Medio","Bajo")))</f>
        <v/>
      </c>
      <c r="J13" s="60" t="inlineStr">
        <is>
          <t>Mitigar con pruebas</t>
        </is>
      </c>
      <c r="K13" s="60" t="inlineStr">
        <is>
          <t>Análisis de valores límite sobre cantidad_entrada (0, 1, maximo_ticket y maximo_ticket + 1).</t>
        </is>
      </c>
      <c r="L13" s="59" t="n">
        <v>9</v>
      </c>
      <c r="M13" s="60" t="inlineStr">
        <is>
          <t>CP-03, CP-04, CP-18, CP-19, CP-E2E-01</t>
        </is>
      </c>
      <c r="N13" s="61">
        <f>IF(I13="","",IF(I13="Alto","Alta",IF(I13="Medio","Media","Baja")))</f>
        <v/>
      </c>
      <c r="O13" s="60" t="inlineStr">
        <is>
          <t>Felipe Castro / Bastián Parra</t>
        </is>
      </c>
      <c r="P13" s="59" t="inlineStr">
        <is>
          <t>Abierto</t>
        </is>
      </c>
      <c r="Q13" s="59" t="inlineStr">
        <is>
          <t>Entrega 1</t>
        </is>
      </c>
    </row>
    <row r="14" ht="15" customHeight="1" s="33">
      <c r="A14" s="58" t="inlineStr">
        <is>
          <t>R10</t>
        </is>
      </c>
      <c r="B14" s="59" t="inlineStr">
        <is>
          <t>Producto</t>
        </is>
      </c>
      <c r="C14" s="60" t="inlineStr">
        <is>
          <t>Reintentos infinitos o duplicación de registros cuando Check-in responde 409 Conflict ante un ticket ya registrado.</t>
        </is>
      </c>
      <c r="D14" s="60" t="inlineStr">
        <is>
          <t>HU-05 / Contrato enviar_qr_generado v2.1</t>
        </is>
      </c>
      <c r="E14" s="60" t="inlineStr">
        <is>
          <t>El manejador de respuestas de Entradas trata el código HTTP 409 igual que un error 500/503 en lugar de detener los reintentos.</t>
        </is>
      </c>
      <c r="F14" s="59" t="n">
        <v>2</v>
      </c>
      <c r="G14" s="59" t="n">
        <v>2</v>
      </c>
      <c r="H14" s="61">
        <f>IF(OR(F14="",G14=""),"",F14*G14)</f>
        <v/>
      </c>
      <c r="I14" s="61">
        <f>IF(H14="","",IF(H14&gt;=6,"Alto",IF(H14&gt;=3,"Medio","Bajo")))</f>
        <v/>
      </c>
      <c r="J14" s="60" t="inlineStr">
        <is>
          <t>Mitigar con pruebas</t>
        </is>
      </c>
      <c r="K14" s="60" t="inlineStr">
        <is>
          <t>Tabla de decisión verificando que ante respuesta HTTP 409 Conflict se marque la entrada como sincronizada y no se reintente.</t>
        </is>
      </c>
      <c r="L14" s="59" t="n">
        <v>10</v>
      </c>
      <c r="M14" s="60" t="inlineStr">
        <is>
          <t>CP-14</t>
        </is>
      </c>
      <c r="N14" s="61">
        <f>IF(I14="","",IF(I14="Alto","Alta",IF(I14="Medio","Media","Baja")))</f>
        <v/>
      </c>
      <c r="O14" s="60" t="inlineStr">
        <is>
          <t>Sebastián Fuentes / Bastián Parra</t>
        </is>
      </c>
      <c r="P14" s="59" t="inlineStr">
        <is>
          <t>Abierto</t>
        </is>
      </c>
      <c r="Q14" s="59" t="inlineStr">
        <is>
          <t>Entrega 1</t>
        </is>
      </c>
    </row>
    <row r="15" ht="15" customHeight="1" s="33">
      <c r="A15" s="58" t="inlineStr">
        <is>
          <t>R11</t>
        </is>
      </c>
      <c r="B15" s="59" t="inlineStr">
        <is>
          <t>Producto</t>
        </is>
      </c>
      <c r="C15" s="60" t="inlineStr">
        <is>
          <t>Manejo incorrecto de consultas con id_evento o id_entrada inexistentes o malformados (errores 400 y 404).</t>
        </is>
      </c>
      <c r="D15" s="60" t="inlineStr">
        <is>
          <t>HU-01, HU-04 / Contrato consultar_entrada v1.0</t>
        </is>
      </c>
      <c r="E15" s="60" t="inlineStr">
        <is>
          <t>Excepciones no controladas (error 500) cuando se consulta un evento sin inventario o un id_entrada que no existe o tiene formato inválido.</t>
        </is>
      </c>
      <c r="F15" s="59" t="n">
        <v>2</v>
      </c>
      <c r="G15" s="59" t="n">
        <v>2</v>
      </c>
      <c r="H15" s="61">
        <f>IF(OR(F15="",G15=""),"",F15*G15)</f>
        <v/>
      </c>
      <c r="I15" s="61">
        <f>IF(H15="","",IF(H15&gt;=6,"Alto",IF(H15&gt;=3,"Medio","Bajo")))</f>
        <v/>
      </c>
      <c r="J15" s="60" t="inlineStr">
        <is>
          <t>Mitigar con pruebas</t>
        </is>
      </c>
      <c r="K15" s="60" t="inlineStr">
        <is>
          <t>Partición de equivalencia con clases inválidas para verificar respuestas controladas HTTP 404 Not Found y HTTP 400 Bad Request.</t>
        </is>
      </c>
      <c r="L15" s="59" t="n">
        <v>11</v>
      </c>
      <c r="M15" s="60" t="inlineStr">
        <is>
          <t>CP-02, CP-09, CP-10</t>
        </is>
      </c>
      <c r="N15" s="61">
        <f>IF(I15="","",IF(I15="Alto","Alta",IF(I15="Medio","Media","Baja")))</f>
        <v/>
      </c>
      <c r="O15" s="60" t="inlineStr">
        <is>
          <t>Esteban Quinteros / Bastián Parra</t>
        </is>
      </c>
      <c r="P15" s="59" t="inlineStr">
        <is>
          <t>En mitigación</t>
        </is>
      </c>
      <c r="Q15" s="59" t="inlineStr">
        <is>
          <t>Entrega 1</t>
        </is>
      </c>
    </row>
    <row r="16" ht="15" customHeight="1" s="33">
      <c r="A16" s="58" t="inlineStr">
        <is>
          <t>R12</t>
        </is>
      </c>
      <c r="B16" s="59" t="inlineStr">
        <is>
          <t>Producto</t>
        </is>
      </c>
      <c r="C16" s="60" t="inlineStr">
        <is>
          <t>Fallo en la emisión síncrona de la entrada y su código QR al confirmar una reserva en el flujo de evento gratuito.</t>
        </is>
      </c>
      <c r="D16" s="60" t="inlineStr">
        <is>
          <t>HU-03, HU-05</t>
        </is>
      </c>
      <c r="E16" s="60" t="inlineStr">
        <is>
          <t>El sistema deja la reserva gratuita en espera de confirmación de pago en vez de generar la entrada y enviar el QR de inmediato.</t>
        </is>
      </c>
      <c r="F16" s="59" t="n">
        <v>2</v>
      </c>
      <c r="G16" s="59" t="n">
        <v>2</v>
      </c>
      <c r="H16" s="61">
        <f>IF(OR(F16="",G16=""),"",F16*G16)</f>
        <v/>
      </c>
      <c r="I16" s="61">
        <f>IF(H16="","",IF(H16&gt;=6,"Alto",IF(H16&gt;=3,"Medio","Bajo")))</f>
        <v/>
      </c>
      <c r="J16" s="60" t="inlineStr">
        <is>
          <t>Mitigar con pruebas</t>
        </is>
      </c>
      <c r="K16" s="60" t="inlineStr">
        <is>
          <t>Transición de estados en flujo gratuito validando descuento inmediato de stock, creación de entrada y POST a Check-in.</t>
        </is>
      </c>
      <c r="L16" s="59" t="n">
        <v>12</v>
      </c>
      <c r="M16" s="60" t="inlineStr">
        <is>
          <t>CP-12, CP-18, CP-E2E-01</t>
        </is>
      </c>
      <c r="N16" s="61">
        <f>IF(I16="","",IF(I16="Alto","Alta",IF(I16="Medio","Media","Baja")))</f>
        <v/>
      </c>
      <c r="O16" s="60" t="inlineStr">
        <is>
          <t>Esteban Quinteros / Sebastián Fuentes</t>
        </is>
      </c>
      <c r="P16" s="59" t="inlineStr">
        <is>
          <t>Abierto</t>
        </is>
      </c>
      <c r="Q16" s="59" t="inlineStr">
        <is>
          <t>Entrega 1</t>
        </is>
      </c>
    </row>
    <row r="17" ht="15" customHeight="1" s="33">
      <c r="A17" s="58" t="inlineStr">
        <is>
          <t>R13</t>
        </is>
      </c>
      <c r="B17" s="59" t="inlineStr">
        <is>
          <t>Producto</t>
        </is>
      </c>
      <c r="C17" s="60" t="inlineStr">
        <is>
          <t>Inconsistencia entre stock_actual, cantidad_entrada_reservada y cantidad_entrada_comprada en la colección inventario_evento.</t>
        </is>
      </c>
      <c r="D17" s="60" t="inlineStr">
        <is>
          <t>HU-01, HU-02, HU-03, HU-09</t>
        </is>
      </c>
      <c r="E17" s="60" t="inlineStr">
        <is>
          <t>Actualización parcial de los contadores de inventario al pasar de reserva temporal a compra consolidada o expirada.</t>
        </is>
      </c>
      <c r="F17" s="59" t="n">
        <v>2</v>
      </c>
      <c r="G17" s="59" t="n">
        <v>2</v>
      </c>
      <c r="H17" s="61">
        <f>IF(OR(F17="",G17=""),"",F17*G17)</f>
        <v/>
      </c>
      <c r="I17" s="61">
        <f>IF(H17="","",IF(H17&gt;=6,"Alto",IF(H17&gt;=3,"Medio","Bajo")))</f>
        <v/>
      </c>
      <c r="J17" s="60" t="inlineStr">
        <is>
          <t>Mitigar con pruebas</t>
        </is>
      </c>
      <c r="K17" s="60" t="inlineStr">
        <is>
          <t>Transición de estados e inspección en MongoDB verificando el cuadre exacto de contadores antes y después de reservar/comprar.</t>
        </is>
      </c>
      <c r="L17" s="59" t="n">
        <v>13</v>
      </c>
      <c r="M17" s="60" t="inlineStr">
        <is>
          <t>CP-01, CP-05, CP-06, CP-16, CP-20</t>
        </is>
      </c>
      <c r="N17" s="61">
        <f>IF(I17="","",IF(I17="Alto","Alta",IF(I17="Medio","Media","Baja")))</f>
        <v/>
      </c>
      <c r="O17" s="60" t="inlineStr">
        <is>
          <t>Renato Herrera / Bastián Parra</t>
        </is>
      </c>
      <c r="P17" s="59" t="inlineStr">
        <is>
          <t>Abierto</t>
        </is>
      </c>
      <c r="Q17" s="59" t="inlineStr">
        <is>
          <t>Entrega 1</t>
        </is>
      </c>
    </row>
    <row r="18" ht="15" customHeight="1" s="33">
      <c r="A18" s="58" t="inlineStr">
        <is>
          <t>R14</t>
        </is>
      </c>
      <c r="B18" s="59" t="inlineStr">
        <is>
          <t>Producto</t>
        </is>
      </c>
      <c r="C18" s="60" t="inlineStr">
        <is>
          <t>Cálculo erróneo del monto_total al aplicar porcentaje_descuento e id_promocion en la reserva de entradas.</t>
        </is>
      </c>
      <c r="D18" s="60" t="inlineStr">
        <is>
          <t>HU-02, HU-03</t>
        </is>
      </c>
      <c r="E18" s="60" t="inlineStr">
        <is>
          <t>Redondeo incorrecto o aplicación indebida de promociones vencidas sobre precio_unitario en reserva_entrada.</t>
        </is>
      </c>
      <c r="F18" s="59" t="n">
        <v>2</v>
      </c>
      <c r="G18" s="59" t="n">
        <v>1</v>
      </c>
      <c r="H18" s="61">
        <f>IF(OR(F18="",G18=""),"",F18*G18)</f>
        <v/>
      </c>
      <c r="I18" s="61">
        <f>IF(H18="","",IF(H18&gt;=6,"Alto",IF(H18&gt;=3,"Medio","Bajo")))</f>
        <v/>
      </c>
      <c r="J18" s="60" t="inlineStr">
        <is>
          <t>Mitigar con pruebas</t>
        </is>
      </c>
      <c r="K18" s="60" t="inlineStr">
        <is>
          <t>Análisis de valores límite y tablas de decisión al calcular monto_total e inmutabilidad de precio_final_pagado.</t>
        </is>
      </c>
      <c r="L18" s="59" t="n">
        <v>14</v>
      </c>
      <c r="M18" s="60" t="inlineStr">
        <is>
          <t>CP-03, CP-08, CP-20</t>
        </is>
      </c>
      <c r="N18" s="61">
        <f>IF(I18="","",IF(I18="Alto","Alta",IF(I18="Medio","Media","Baja")))</f>
        <v/>
      </c>
      <c r="O18" s="60" t="inlineStr">
        <is>
          <t>Felipe Castro / Bastián Parra</t>
        </is>
      </c>
      <c r="P18" s="59" t="inlineStr">
        <is>
          <t>Abierto</t>
        </is>
      </c>
      <c r="Q18" s="59" t="inlineStr">
        <is>
          <t>Entrega 1</t>
        </is>
      </c>
    </row>
    <row r="19" ht="15" customHeight="1" s="33">
      <c r="A19" s="58" t="inlineStr">
        <is>
          <t>R15</t>
        </is>
      </c>
      <c r="B19" s="59" t="inlineStr">
        <is>
          <t>Producto</t>
        </is>
      </c>
      <c r="C19" s="60" t="inlineStr">
        <is>
          <t>Errores visuales o de flujo en el frontend al mostrar disponibilidad, temporizador de reserva o detalles de la entrada y QR.</t>
        </is>
      </c>
      <c r="D19" s="60" t="inlineStr">
        <is>
          <t>HU-01, HU-03, HU-04, HU-05</t>
        </is>
      </c>
      <c r="E19" s="60" t="inlineStr">
        <is>
          <t>Desajuste de integración entre las vistas de Next.js (src/modules/entradas/ y DisponibilidadPlaceholder) y las respuestas del API Gateway.</t>
        </is>
      </c>
      <c r="F19" s="59" t="n">
        <v>1</v>
      </c>
      <c r="G19" s="59" t="n">
        <v>2</v>
      </c>
      <c r="H19" s="61">
        <f>IF(OR(F19="",G19=""),"",F19*G19)</f>
        <v/>
      </c>
      <c r="I19" s="61">
        <f>IF(H19="","",IF(H19&gt;=6,"Alto",IF(H19&gt;=3,"Medio","Bajo")))</f>
        <v/>
      </c>
      <c r="J19" s="60" t="inlineStr">
        <is>
          <t>Mitigar con pruebas</t>
        </is>
      </c>
      <c r="K19" s="60" t="inlineStr">
        <is>
          <t>Pruebas dinámicas exploratorias de flujo en interfaz web y ejecución de flujos E2E (gratuito y pagado).</t>
        </is>
      </c>
      <c r="L19" s="59" t="n">
        <v>15</v>
      </c>
      <c r="M19" s="60" t="inlineStr">
        <is>
          <t>CP-E2E-01, CP-E2E-02</t>
        </is>
      </c>
      <c r="N19" s="61">
        <f>IF(I19="","",IF(I19="Alto","Alta",IF(I19="Medio","Media","Baja")))</f>
        <v/>
      </c>
      <c r="O19" s="60" t="inlineStr">
        <is>
          <t>Felipe Castro / Sebastián Fuentes</t>
        </is>
      </c>
      <c r="P19" s="59" t="inlineStr">
        <is>
          <t>Abierto</t>
        </is>
      </c>
      <c r="Q19" s="59" t="inlineStr">
        <is>
          <t>Entrega 1</t>
        </is>
      </c>
    </row>
    <row r="20" ht="15" customHeight="1" s="33">
      <c r="A20" s="58" t="inlineStr">
        <is>
          <t>R16</t>
        </is>
      </c>
      <c r="B20" s="59" t="inlineStr">
        <is>
          <t>Proyecto</t>
        </is>
      </c>
      <c r="C20" s="60" t="inlineStr">
        <is>
          <t>Conflictos en el flujo de ramas de Git (merge accidental hacia main) o fallos al construir contenedores Docker.</t>
        </is>
      </c>
      <c r="D20" s="60" t="inlineStr">
        <is>
          <t>Gestión de configuración / Entorno</t>
        </is>
      </c>
      <c r="E20" s="60" t="inlineStr">
        <is>
          <t>Pull Requests abiertos directamente contra main sin validación previa, ausencia de carpeta /public en frontend o falta de librería motor.</t>
        </is>
      </c>
      <c r="F20" s="59" t="n">
        <v>3</v>
      </c>
      <c r="G20" s="59" t="n">
        <v>2</v>
      </c>
      <c r="H20" s="61">
        <f>IF(OR(F20="",G20=""),"",F20*G20)</f>
        <v/>
      </c>
      <c r="I20" s="61">
        <f>IF(H20="","",IF(H20&gt;=6,"Alto",IF(H20&gt;=3,"Medio","Bajo")))</f>
        <v/>
      </c>
      <c r="J20" s="60" t="inlineStr">
        <is>
          <t>Plan de contingencia</t>
        </is>
      </c>
      <c r="K20" s="60" t="inlineStr">
        <is>
          <t>Cerrar PRs erróneos hacia main, exigir validación previa de build en ramas feature/backend y estandarizar el entorno en INSTRUCCIONES_QA.md.</t>
        </is>
      </c>
      <c r="L20" s="59" t="n">
        <v>16</v>
      </c>
      <c r="M20" s="60" t="inlineStr">
        <is>
          <t>N/A (Proyecto)</t>
        </is>
      </c>
      <c r="N20" s="61">
        <f>IF(I20="","",IF(I20="Alto","Alta",IF(I20="Medio","Media","Baja")))</f>
        <v/>
      </c>
      <c r="O20" s="60" t="inlineStr">
        <is>
          <t>Sebastián Fuentes / Bastián Parra</t>
        </is>
      </c>
      <c r="P20" s="59" t="inlineStr">
        <is>
          <t>Mitigado</t>
        </is>
      </c>
      <c r="Q20" s="59" t="inlineStr">
        <is>
          <t>Entrega 1</t>
        </is>
      </c>
    </row>
    <row r="21" ht="15" customHeight="1" s="33">
      <c r="A21" s="58" t="inlineStr">
        <is>
          <t>R17</t>
        </is>
      </c>
      <c r="B21" s="59" t="inlineStr">
        <is>
          <t>Proyecto</t>
        </is>
      </c>
      <c r="C21" s="60" t="inlineStr">
        <is>
          <t>Indisponibilidad de microservicios externos (Check-in, Pagos, Catálogo, Notificaciones) o del API Gateway durante las pruebas.</t>
        </is>
      </c>
      <c r="D21" s="60" t="inlineStr">
        <is>
          <t>HU-04, HU-05, HU-07, HU-09</t>
        </is>
      </c>
      <c r="E21" s="60" t="inlineStr">
        <is>
          <t>Desfase en el calendario de despliegue de otros grupos o caída de contenedores en la red Docker 'plataforma-eventos-net'.</t>
        </is>
      </c>
      <c r="F21" s="59" t="n">
        <v>2</v>
      </c>
      <c r="G21" s="59" t="n">
        <v>2</v>
      </c>
      <c r="H21" s="61">
        <f>IF(OR(F21="",G21=""),"",F21*G21)</f>
        <v/>
      </c>
      <c r="I21" s="61">
        <f>IF(H21="","",IF(H21&gt;=6,"Alto",IF(H21&gt;=3,"Medio","Bajo")))</f>
        <v/>
      </c>
      <c r="J21" s="60" t="inlineStr">
        <is>
          <t>Plan de contingencia</t>
        </is>
      </c>
      <c r="K21" s="60" t="inlineStr">
        <is>
          <t>Activar el Plan B de ambiente empleando mocks y servicios simulados locales (checkin_service.py, pagos_service.py, notificaciones_service.py).</t>
        </is>
      </c>
      <c r="L21" s="59" t="n">
        <v>17</v>
      </c>
      <c r="M21" s="60" t="inlineStr">
        <is>
          <t>N/A (Proyecto)</t>
        </is>
      </c>
      <c r="N21" s="61">
        <f>IF(I21="","",IF(I21="Alto","Alta",IF(I21="Medio","Media","Baja")))</f>
        <v/>
      </c>
      <c r="O21" s="60" t="inlineStr">
        <is>
          <t>Bastián Parra / Renato Herrera</t>
        </is>
      </c>
      <c r="P21" s="59" t="inlineStr">
        <is>
          <t>En mitigación</t>
        </is>
      </c>
      <c r="Q21" s="59" t="inlineStr">
        <is>
          <t>Entrega 1</t>
        </is>
      </c>
    </row>
    <row r="22" ht="15" customHeight="1" s="33">
      <c r="A22" s="58" t="inlineStr">
        <is>
          <t>R18</t>
        </is>
      </c>
      <c r="B22" s="59" t="inlineStr">
        <is>
          <t>Proyecto</t>
        </is>
      </c>
      <c r="C22" s="60" t="inlineStr">
        <is>
          <t>Retrasos por cambios en contratos de interfaz o definiciones de datos compartidos con los equipos de Check-in y Catálogo.</t>
        </is>
      </c>
      <c r="D22" s="60" t="inlineStr">
        <is>
          <t>HU-04, HU-05</t>
        </is>
      </c>
      <c r="E22" s="60" t="inlineStr">
        <is>
          <t>Ajustes en la estructura del payload (como el paso de qr_data a JSON y adición de id_evento y nombre_usuario) durante el Sprint.</t>
        </is>
      </c>
      <c r="F22" s="59" t="n">
        <v>2</v>
      </c>
      <c r="G22" s="59" t="n">
        <v>2</v>
      </c>
      <c r="H22" s="61">
        <f>IF(OR(F22="",G22=""),"",F22*G22)</f>
        <v/>
      </c>
      <c r="I22" s="61">
        <f>IF(H22="","",IF(H22&gt;=6,"Alto",IF(H22&gt;=3,"Medio","Bajo")))</f>
        <v/>
      </c>
      <c r="J22" s="60" t="inlineStr">
        <is>
          <t>Plan de contingencia</t>
        </is>
      </c>
      <c r="K22" s="60" t="inlineStr">
        <is>
          <t>Formalizar acuerdos en contratos versionados (v1.0 y v2.1) coordinados por el Scrum Master y actualizar inmediatamente las colecciones de Postman.</t>
        </is>
      </c>
      <c r="L22" s="59" t="n">
        <v>18</v>
      </c>
      <c r="M22" s="60" t="inlineStr">
        <is>
          <t>N/A (Proyecto)</t>
        </is>
      </c>
      <c r="N22" s="61">
        <f>IF(I22="","",IF(I22="Alto","Alta",IF(I22="Medio","Media","Baja")))</f>
        <v/>
      </c>
      <c r="O22" s="60" t="inlineStr">
        <is>
          <t>Sebastián Fuentes</t>
        </is>
      </c>
      <c r="P22" s="59" t="inlineStr">
        <is>
          <t>Mitigado</t>
        </is>
      </c>
      <c r="Q22" s="59" t="inlineStr">
        <is>
          <t>Entrega 1</t>
        </is>
      </c>
    </row>
    <row r="23" ht="15" customHeight="1" s="33">
      <c r="A23" s="58" t="inlineStr">
        <is>
          <t>R19</t>
        </is>
      </c>
      <c r="B23" s="59" t="inlineStr">
        <is>
          <t>Proyecto</t>
        </is>
      </c>
      <c r="C23" s="60" t="inlineStr">
        <is>
          <t>Desincronización de datos de prueba en MongoDB local entre ejecuciones de Pytest y Postman.</t>
        </is>
      </c>
      <c r="D23" s="60" t="inlineStr">
        <is>
          <t>Ambiente y Datos de Prueba</t>
        </is>
      </c>
      <c r="E23" s="60" t="inlineStr">
        <is>
          <t>Modificación o agotamiento de stock_actual del evento 'evt-77889' tras corridas previas sin reiniciar la base de datos.</t>
        </is>
      </c>
      <c r="F23" s="59" t="n">
        <v>2</v>
      </c>
      <c r="G23" s="59" t="n">
        <v>2</v>
      </c>
      <c r="H23" s="61">
        <f>IF(OR(F23="",G23=""),"",F23*G23)</f>
        <v/>
      </c>
      <c r="I23" s="61">
        <f>IF(H23="","",IF(H23&gt;=6,"Alto",IF(H23&gt;=3,"Medio","Bajo")))</f>
        <v/>
      </c>
      <c r="J23" s="60" t="inlineStr">
        <is>
          <t>Plan de contingencia</t>
        </is>
      </c>
      <c r="K23" s="60" t="inlineStr">
        <is>
          <t>Re-ejecutar el script init_db.js y verificar el estado inicial mediante mongo-express (puerto 8081) antes de cada suite de pruebas.</t>
        </is>
      </c>
      <c r="L23" s="59" t="n">
        <v>19</v>
      </c>
      <c r="M23" s="60" t="inlineStr">
        <is>
          <t>N/A (Proyecto)</t>
        </is>
      </c>
      <c r="N23" s="61">
        <f>IF(I23="","",IF(I23="Alto","Alta",IF(I23="Medio","Media","Baja")))</f>
        <v/>
      </c>
      <c r="O23" s="60" t="inlineStr">
        <is>
          <t>Renato Herrera / Bastián Parra</t>
        </is>
      </c>
      <c r="P23" s="59" t="inlineStr">
        <is>
          <t>En mitigación</t>
        </is>
      </c>
      <c r="Q23" s="59" t="inlineStr">
        <is>
          <t>Entrega 1</t>
        </is>
      </c>
    </row>
    <row r="24" ht="15" customHeight="1" s="33">
      <c r="A24" s="58" t="inlineStr">
        <is>
          <t>R20</t>
        </is>
      </c>
      <c r="B24" s="59" t="inlineStr">
        <is>
          <t>Proyecto</t>
        </is>
      </c>
      <c r="C24" s="60" t="inlineStr">
        <is>
          <t>Descoordinación en el uso de herramientas de gestión QA por no cursar el responsable de pruebas la asignatura Prueba de Sistemas.</t>
        </is>
      </c>
      <c r="D24" s="60" t="inlineStr">
        <is>
          <t>Gestión de pruebas (Entregas 1 a 3)</t>
        </is>
      </c>
      <c r="E24" s="60" t="inlineStr">
        <is>
          <t>Diferencias de formato en reportes de TestLink/Mantis o concentración de carga de documentación en fechas de entrega.</t>
        </is>
      </c>
      <c r="F24" s="59" t="n">
        <v>2</v>
      </c>
      <c r="G24" s="59" t="n">
        <v>1</v>
      </c>
      <c r="H24" s="61">
        <f>IF(OR(F24="",G24=""),"",F24*G24)</f>
        <v/>
      </c>
      <c r="I24" s="61">
        <f>IF(H24="","",IF(H24&gt;=6,"Alto",IF(H24&gt;=3,"Medio","Bajo")))</f>
        <v/>
      </c>
      <c r="J24" s="60" t="inlineStr">
        <is>
          <t>Plan de contingencia</t>
        </is>
      </c>
      <c r="K24" s="60" t="inlineStr">
        <is>
          <t>Repartir la dedicación al 25% entre los integrantes del equipo TITEC y apoyar colaborativamente la carga en TestLink y Matriz de Riesgos.</t>
        </is>
      </c>
      <c r="L24" s="59" t="n">
        <v>20</v>
      </c>
      <c r="M24" s="60" t="inlineStr">
        <is>
          <t>N/A (Proyecto)</t>
        </is>
      </c>
      <c r="N24" s="61">
        <f>IF(I24="","",IF(I24="Alto","Alta",IF(I24="Medio","Media","Baja")))</f>
        <v/>
      </c>
      <c r="O24" s="60" t="inlineStr">
        <is>
          <t>Sebastián Fuentes / Equipo Grupo 6</t>
        </is>
      </c>
      <c r="P24" s="59" t="inlineStr">
        <is>
          <t>En mitigación</t>
        </is>
      </c>
      <c r="Q24" s="59" t="inlineStr">
        <is>
          <t>Entrega 1</t>
        </is>
      </c>
    </row>
    <row r="25" ht="15" customHeight="1" s="33">
      <c r="A25" s="58" t="inlineStr">
        <is>
          <t>R21</t>
        </is>
      </c>
      <c r="B25" s="59" t="n"/>
      <c r="C25" s="60" t="n"/>
      <c r="D25" s="60" t="n"/>
      <c r="E25" s="60" t="n"/>
      <c r="F25" s="59" t="n"/>
      <c r="G25" s="59" t="n"/>
      <c r="H25" s="61">
        <f>IF(OR(F25="",G25=""),"",F25*G25)</f>
        <v/>
      </c>
      <c r="I25" s="61">
        <f>IF(H25="","",IF(H25&gt;=6,"Alto",IF(H25&gt;=3,"Medio","Bajo")))</f>
        <v/>
      </c>
      <c r="J25" s="60" t="n"/>
      <c r="K25" s="60" t="n"/>
      <c r="L25" s="59" t="n"/>
      <c r="M25" s="60" t="n"/>
      <c r="N25" s="61">
        <f>IF(I25="","",IF(I25="Alto","Alta",IF(I25="Medio","Media","Baja")))</f>
        <v/>
      </c>
      <c r="O25" s="60" t="n"/>
      <c r="P25" s="59" t="n"/>
      <c r="Q25" s="59" t="n"/>
    </row>
    <row r="26" ht="15" customHeight="1" s="33">
      <c r="A26" s="58" t="inlineStr">
        <is>
          <t>R22</t>
        </is>
      </c>
      <c r="B26" s="59" t="n"/>
      <c r="C26" s="60" t="n"/>
      <c r="D26" s="60" t="n"/>
      <c r="E26" s="60" t="n"/>
      <c r="F26" s="59" t="n"/>
      <c r="G26" s="59" t="n"/>
      <c r="H26" s="61">
        <f>IF(OR(F26="",G26=""),"",F26*G26)</f>
        <v/>
      </c>
      <c r="I26" s="61">
        <f>IF(H26="","",IF(H26&gt;=6,"Alto",IF(H26&gt;=3,"Medio","Bajo")))</f>
        <v/>
      </c>
      <c r="J26" s="60" t="n"/>
      <c r="K26" s="60" t="n"/>
      <c r="L26" s="59" t="n"/>
      <c r="M26" s="60" t="n"/>
      <c r="N26" s="61">
        <f>IF(I26="","",IF(I26="Alto","Alta",IF(I26="Medio","Media","Baja")))</f>
        <v/>
      </c>
      <c r="O26" s="60" t="n"/>
      <c r="P26" s="59" t="n"/>
      <c r="Q26" s="59" t="n"/>
    </row>
    <row r="27" ht="15" customHeight="1" s="33">
      <c r="A27" s="58" t="inlineStr">
        <is>
          <t>R23</t>
        </is>
      </c>
      <c r="B27" s="59" t="n"/>
      <c r="C27" s="60" t="n"/>
      <c r="D27" s="60" t="n"/>
      <c r="E27" s="60" t="n"/>
      <c r="F27" s="59" t="n"/>
      <c r="G27" s="59" t="n"/>
      <c r="H27" s="61">
        <f>IF(OR(F27="",G27=""),"",F27*G27)</f>
        <v/>
      </c>
      <c r="I27" s="61">
        <f>IF(H27="","",IF(H27&gt;=6,"Alto",IF(H27&gt;=3,"Medio","Bajo")))</f>
        <v/>
      </c>
      <c r="J27" s="60" t="n"/>
      <c r="K27" s="60" t="n"/>
      <c r="L27" s="59" t="n"/>
      <c r="M27" s="60" t="n"/>
      <c r="N27" s="61">
        <f>IF(I27="","",IF(I27="Alto","Alta",IF(I27="Medio","Media","Baja")))</f>
        <v/>
      </c>
      <c r="O27" s="60" t="n"/>
      <c r="P27" s="59" t="n"/>
      <c r="Q27" s="59" t="n"/>
    </row>
    <row r="28" ht="15" customHeight="1" s="33">
      <c r="A28" s="58" t="inlineStr">
        <is>
          <t>R24</t>
        </is>
      </c>
      <c r="B28" s="59" t="n"/>
      <c r="C28" s="60" t="n"/>
      <c r="D28" s="60" t="n"/>
      <c r="E28" s="60" t="n"/>
      <c r="F28" s="59" t="n"/>
      <c r="G28" s="59" t="n"/>
      <c r="H28" s="61">
        <f>IF(OR(F28="",G28=""),"",F28*G28)</f>
        <v/>
      </c>
      <c r="I28" s="61">
        <f>IF(H28="","",IF(H28&gt;=6,"Alto",IF(H28&gt;=3,"Medio","Bajo")))</f>
        <v/>
      </c>
      <c r="J28" s="60" t="n"/>
      <c r="K28" s="60" t="n"/>
      <c r="L28" s="59" t="n"/>
      <c r="M28" s="60" t="n"/>
      <c r="N28" s="61">
        <f>IF(I28="","",IF(I28="Alto","Alta",IF(I28="Medio","Media","Baja")))</f>
        <v/>
      </c>
      <c r="O28" s="60" t="n"/>
      <c r="P28" s="59" t="n"/>
      <c r="Q28" s="59" t="n"/>
    </row>
    <row r="29" ht="15" customHeight="1" s="33">
      <c r="A29" s="58" t="inlineStr">
        <is>
          <t>R25</t>
        </is>
      </c>
      <c r="B29" s="59" t="n"/>
      <c r="C29" s="60" t="n"/>
      <c r="D29" s="60" t="n"/>
      <c r="E29" s="60" t="n"/>
      <c r="F29" s="59" t="n"/>
      <c r="G29" s="59" t="n"/>
      <c r="H29" s="61">
        <f>IF(OR(F29="",G29=""),"",F29*G29)</f>
        <v/>
      </c>
      <c r="I29" s="61">
        <f>IF(H29="","",IF(H29&gt;=6,"Alto",IF(H29&gt;=3,"Medio","Bajo")))</f>
        <v/>
      </c>
      <c r="J29" s="60" t="n"/>
      <c r="K29" s="60" t="n"/>
      <c r="L29" s="59" t="n"/>
      <c r="M29" s="60" t="n"/>
      <c r="N29" s="61">
        <f>IF(I29="","",IF(I29="Alto","Alta",IF(I29="Medio","Media","Baja")))</f>
        <v/>
      </c>
      <c r="O29" s="60" t="n"/>
      <c r="P29" s="59" t="n"/>
      <c r="Q29" s="59" t="n"/>
    </row>
    <row r="30" ht="15" customHeight="1" s="33">
      <c r="A30" s="58" t="inlineStr">
        <is>
          <t>R26</t>
        </is>
      </c>
      <c r="B30" s="59" t="n"/>
      <c r="C30" s="60" t="n"/>
      <c r="D30" s="60" t="n"/>
      <c r="E30" s="60" t="n"/>
      <c r="F30" s="59" t="n"/>
      <c r="G30" s="59" t="n"/>
      <c r="H30" s="61">
        <f>IF(OR(F30="",G30=""),"",F30*G30)</f>
        <v/>
      </c>
      <c r="I30" s="61">
        <f>IF(H30="","",IF(H30&gt;=6,"Alto",IF(H30&gt;=3,"Medio","Bajo")))</f>
        <v/>
      </c>
      <c r="J30" s="60" t="n"/>
      <c r="K30" s="60" t="n"/>
      <c r="L30" s="59" t="n"/>
      <c r="M30" s="60" t="n"/>
      <c r="N30" s="61">
        <f>IF(I30="","",IF(I30="Alto","Alta",IF(I30="Medio","Media","Baja")))</f>
        <v/>
      </c>
      <c r="O30" s="60" t="n"/>
      <c r="P30" s="59" t="n"/>
      <c r="Q30" s="59" t="n"/>
    </row>
    <row r="31" ht="15" customHeight="1" s="33">
      <c r="A31" s="58" t="inlineStr">
        <is>
          <t>R27</t>
        </is>
      </c>
      <c r="B31" s="59" t="n"/>
      <c r="C31" s="60" t="n"/>
      <c r="D31" s="60" t="n"/>
      <c r="E31" s="60" t="n"/>
      <c r="F31" s="59" t="n"/>
      <c r="G31" s="59" t="n"/>
      <c r="H31" s="61">
        <f>IF(OR(F31="",G31=""),"",F31*G31)</f>
        <v/>
      </c>
      <c r="I31" s="61">
        <f>IF(H31="","",IF(H31&gt;=6,"Alto",IF(H31&gt;=3,"Medio","Bajo")))</f>
        <v/>
      </c>
      <c r="J31" s="60" t="n"/>
      <c r="K31" s="60" t="n"/>
      <c r="L31" s="59" t="n"/>
      <c r="M31" s="60" t="n"/>
      <c r="N31" s="61">
        <f>IF(I31="","",IF(I31="Alto","Alta",IF(I31="Medio","Media","Baja")))</f>
        <v/>
      </c>
      <c r="O31" s="60" t="n"/>
      <c r="P31" s="59" t="n"/>
      <c r="Q31" s="59" t="n"/>
    </row>
    <row r="32" ht="15" customHeight="1" s="33">
      <c r="A32" s="58" t="inlineStr">
        <is>
          <t>R28</t>
        </is>
      </c>
      <c r="B32" s="59" t="n"/>
      <c r="C32" s="60" t="n"/>
      <c r="D32" s="60" t="n"/>
      <c r="E32" s="60" t="n"/>
      <c r="F32" s="59" t="n"/>
      <c r="G32" s="59" t="n"/>
      <c r="H32" s="61">
        <f>IF(OR(F32="",G32=""),"",F32*G32)</f>
        <v/>
      </c>
      <c r="I32" s="61">
        <f>IF(H32="","",IF(H32&gt;=6,"Alto",IF(H32&gt;=3,"Medio","Bajo")))</f>
        <v/>
      </c>
      <c r="J32" s="60" t="n"/>
      <c r="K32" s="60" t="n"/>
      <c r="L32" s="59" t="n"/>
      <c r="M32" s="60" t="n"/>
      <c r="N32" s="61">
        <f>IF(I32="","",IF(I32="Alto","Alta",IF(I32="Medio","Media","Baja")))</f>
        <v/>
      </c>
      <c r="O32" s="60" t="n"/>
      <c r="P32" s="59" t="n"/>
      <c r="Q32" s="59" t="n"/>
    </row>
    <row r="33" ht="15" customHeight="1" s="33">
      <c r="A33" s="58" t="inlineStr">
        <is>
          <t>R29</t>
        </is>
      </c>
      <c r="B33" s="59" t="n"/>
      <c r="C33" s="60" t="n"/>
      <c r="D33" s="60" t="n"/>
      <c r="E33" s="60" t="n"/>
      <c r="F33" s="59" t="n"/>
      <c r="G33" s="59" t="n"/>
      <c r="H33" s="61">
        <f>IF(OR(F33="",G33=""),"",F33*G33)</f>
        <v/>
      </c>
      <c r="I33" s="61">
        <f>IF(H33="","",IF(H33&gt;=6,"Alto",IF(H33&gt;=3,"Medio","Bajo")))</f>
        <v/>
      </c>
      <c r="J33" s="60" t="n"/>
      <c r="K33" s="60" t="n"/>
      <c r="L33" s="59" t="n"/>
      <c r="M33" s="60" t="n"/>
      <c r="N33" s="61">
        <f>IF(I33="","",IF(I33="Alto","Alta",IF(I33="Medio","Media","Baja")))</f>
        <v/>
      </c>
      <c r="O33" s="60" t="n"/>
      <c r="P33" s="59" t="n"/>
      <c r="Q33" s="59" t="n"/>
    </row>
    <row r="34" ht="15" customHeight="1" s="33">
      <c r="A34" s="58" t="inlineStr">
        <is>
          <t>R30</t>
        </is>
      </c>
      <c r="B34" s="59" t="n"/>
      <c r="C34" s="60" t="n"/>
      <c r="D34" s="60" t="n"/>
      <c r="E34" s="60" t="n"/>
      <c r="F34" s="59" t="n"/>
      <c r="G34" s="59" t="n"/>
      <c r="H34" s="61">
        <f>IF(OR(F34="",G34=""),"",F34*G34)</f>
        <v/>
      </c>
      <c r="I34" s="61">
        <f>IF(H34="","",IF(H34&gt;=6,"Alto",IF(H34&gt;=3,"Medio","Bajo")))</f>
        <v/>
      </c>
      <c r="J34" s="60" t="n"/>
      <c r="K34" s="60" t="n"/>
      <c r="L34" s="59" t="n"/>
      <c r="M34" s="60" t="n"/>
      <c r="N34" s="61">
        <f>IF(I34="","",IF(I34="Alto","Alta",IF(I34="Medio","Media","Baja")))</f>
        <v/>
      </c>
      <c r="O34" s="60" t="n"/>
      <c r="P34" s="59" t="n"/>
      <c r="Q34" s="59" t="n"/>
    </row>
    <row r="35" ht="15" customHeight="1" s="33">
      <c r="A35" s="58" t="inlineStr">
        <is>
          <t>R31</t>
        </is>
      </c>
      <c r="B35" s="59" t="n"/>
      <c r="C35" s="60" t="n"/>
      <c r="D35" s="60" t="n"/>
      <c r="E35" s="60" t="n"/>
      <c r="F35" s="59" t="n"/>
      <c r="G35" s="59" t="n"/>
      <c r="H35" s="61">
        <f>IF(OR(F35="",G35=""),"",F35*G35)</f>
        <v/>
      </c>
      <c r="I35" s="61">
        <f>IF(H35="","",IF(H35&gt;=6,"Alto",IF(H35&gt;=3,"Medio","Bajo")))</f>
        <v/>
      </c>
      <c r="J35" s="60" t="n"/>
      <c r="K35" s="60" t="n"/>
      <c r="L35" s="59" t="n"/>
      <c r="M35" s="60" t="n"/>
      <c r="N35" s="61">
        <f>IF(I35="","",IF(I35="Alto","Alta",IF(I35="Medio","Media","Baja")))</f>
        <v/>
      </c>
      <c r="O35" s="60" t="n"/>
      <c r="P35" s="59" t="n"/>
      <c r="Q35" s="59" t="n"/>
    </row>
    <row r="36" ht="15" customHeight="1" s="33">
      <c r="A36" s="58" t="inlineStr">
        <is>
          <t>R32</t>
        </is>
      </c>
      <c r="B36" s="59" t="n"/>
      <c r="C36" s="60" t="n"/>
      <c r="D36" s="60" t="n"/>
      <c r="E36" s="60" t="n"/>
      <c r="F36" s="59" t="n"/>
      <c r="G36" s="59" t="n"/>
      <c r="H36" s="61">
        <f>IF(OR(F36="",G36=""),"",F36*G36)</f>
        <v/>
      </c>
      <c r="I36" s="61">
        <f>IF(H36="","",IF(H36&gt;=6,"Alto",IF(H36&gt;=3,"Medio","Bajo")))</f>
        <v/>
      </c>
      <c r="J36" s="60" t="n"/>
      <c r="K36" s="60" t="n"/>
      <c r="L36" s="59" t="n"/>
      <c r="M36" s="60" t="n"/>
      <c r="N36" s="61">
        <f>IF(I36="","",IF(I36="Alto","Alta",IF(I36="Medio","Media","Baja")))</f>
        <v/>
      </c>
      <c r="O36" s="60" t="n"/>
      <c r="P36" s="59" t="n"/>
      <c r="Q36" s="59" t="n"/>
    </row>
    <row r="37" ht="15" customHeight="1" s="33">
      <c r="A37" s="58" t="inlineStr">
        <is>
          <t>R33</t>
        </is>
      </c>
      <c r="B37" s="59" t="n"/>
      <c r="C37" s="60" t="n"/>
      <c r="D37" s="60" t="n"/>
      <c r="E37" s="60" t="n"/>
      <c r="F37" s="59" t="n"/>
      <c r="G37" s="59" t="n"/>
      <c r="H37" s="61">
        <f>IF(OR(F37="",G37=""),"",F37*G37)</f>
        <v/>
      </c>
      <c r="I37" s="61">
        <f>IF(H37="","",IF(H37&gt;=6,"Alto",IF(H37&gt;=3,"Medio","Bajo")))</f>
        <v/>
      </c>
      <c r="J37" s="60" t="n"/>
      <c r="K37" s="60" t="n"/>
      <c r="L37" s="59" t="n"/>
      <c r="M37" s="60" t="n"/>
      <c r="N37" s="61">
        <f>IF(I37="","",IF(I37="Alto","Alta",IF(I37="Medio","Media","Baja")))</f>
        <v/>
      </c>
      <c r="O37" s="60" t="n"/>
      <c r="P37" s="59" t="n"/>
      <c r="Q37" s="59" t="n"/>
    </row>
    <row r="38" ht="15" customHeight="1" s="33">
      <c r="A38" s="58" t="inlineStr">
        <is>
          <t>R34</t>
        </is>
      </c>
      <c r="B38" s="59" t="n"/>
      <c r="C38" s="60" t="n"/>
      <c r="D38" s="60" t="n"/>
      <c r="E38" s="60" t="n"/>
      <c r="F38" s="59" t="n"/>
      <c r="G38" s="59" t="n"/>
      <c r="H38" s="61">
        <f>IF(OR(F38="",G38=""),"",F38*G38)</f>
        <v/>
      </c>
      <c r="I38" s="61">
        <f>IF(H38="","",IF(H38&gt;=6,"Alto",IF(H38&gt;=3,"Medio","Bajo")))</f>
        <v/>
      </c>
      <c r="J38" s="60" t="n"/>
      <c r="K38" s="60" t="n"/>
      <c r="L38" s="59" t="n"/>
      <c r="M38" s="60" t="n"/>
      <c r="N38" s="61">
        <f>IF(I38="","",IF(I38="Alto","Alta",IF(I38="Medio","Media","Baja")))</f>
        <v/>
      </c>
      <c r="O38" s="60" t="n"/>
      <c r="P38" s="59" t="n"/>
      <c r="Q38" s="59" t="n"/>
    </row>
    <row r="39" ht="15" customHeight="1" s="33">
      <c r="A39" s="58" t="inlineStr">
        <is>
          <t>R35</t>
        </is>
      </c>
      <c r="B39" s="59" t="n"/>
      <c r="C39" s="60" t="n"/>
      <c r="D39" s="60" t="n"/>
      <c r="E39" s="60" t="n"/>
      <c r="F39" s="59" t="n"/>
      <c r="G39" s="59" t="n"/>
      <c r="H39" s="61">
        <f>IF(OR(F39="",G39=""),"",F39*G39)</f>
        <v/>
      </c>
      <c r="I39" s="61">
        <f>IF(H39="","",IF(H39&gt;=6,"Alto",IF(H39&gt;=3,"Medio","Bajo")))</f>
        <v/>
      </c>
      <c r="J39" s="60" t="n"/>
      <c r="K39" s="60" t="n"/>
      <c r="L39" s="59" t="n"/>
      <c r="M39" s="60" t="n"/>
      <c r="N39" s="61">
        <f>IF(I39="","",IF(I39="Alto","Alta",IF(I39="Medio","Media","Baja")))</f>
        <v/>
      </c>
      <c r="O39" s="60" t="n"/>
      <c r="P39" s="59" t="n"/>
      <c r="Q39" s="59" t="n"/>
    </row>
    <row r="40" ht="15" customHeight="1" s="33">
      <c r="A40" s="58" t="inlineStr">
        <is>
          <t>R36</t>
        </is>
      </c>
      <c r="B40" s="59" t="n"/>
      <c r="C40" s="60" t="n"/>
      <c r="D40" s="60" t="n"/>
      <c r="E40" s="60" t="n"/>
      <c r="F40" s="59" t="n"/>
      <c r="G40" s="59" t="n"/>
      <c r="H40" s="61">
        <f>IF(OR(F40="",G40=""),"",F40*G40)</f>
        <v/>
      </c>
      <c r="I40" s="61">
        <f>IF(H40="","",IF(H40&gt;=6,"Alto",IF(H40&gt;=3,"Medio","Bajo")))</f>
        <v/>
      </c>
      <c r="J40" s="60" t="n"/>
      <c r="K40" s="60" t="n"/>
      <c r="L40" s="59" t="n"/>
      <c r="M40" s="60" t="n"/>
      <c r="N40" s="61">
        <f>IF(I40="","",IF(I40="Alto","Alta",IF(I40="Medio","Media","Baja")))</f>
        <v/>
      </c>
      <c r="O40" s="60" t="n"/>
      <c r="P40" s="59" t="n"/>
      <c r="Q40" s="59" t="n"/>
    </row>
    <row r="41" ht="15" customHeight="1" s="33">
      <c r="A41" s="58" t="inlineStr">
        <is>
          <t>R37</t>
        </is>
      </c>
      <c r="B41" s="59" t="n"/>
      <c r="C41" s="60" t="n"/>
      <c r="D41" s="60" t="n"/>
      <c r="E41" s="60" t="n"/>
      <c r="F41" s="59" t="n"/>
      <c r="G41" s="59" t="n"/>
      <c r="H41" s="61">
        <f>IF(OR(F41="",G41=""),"",F41*G41)</f>
        <v/>
      </c>
      <c r="I41" s="61">
        <f>IF(H41="","",IF(H41&gt;=6,"Alto",IF(H41&gt;=3,"Medio","Bajo")))</f>
        <v/>
      </c>
      <c r="J41" s="60" t="n"/>
      <c r="K41" s="60" t="n"/>
      <c r="L41" s="59" t="n"/>
      <c r="M41" s="60" t="n"/>
      <c r="N41" s="61">
        <f>IF(I41="","",IF(I41="Alto","Alta",IF(I41="Medio","Media","Baja")))</f>
        <v/>
      </c>
      <c r="O41" s="60" t="n"/>
      <c r="P41" s="59" t="n"/>
      <c r="Q41" s="59" t="n"/>
    </row>
    <row r="42" ht="15" customHeight="1" s="33">
      <c r="A42" s="58" t="inlineStr">
        <is>
          <t>R38</t>
        </is>
      </c>
      <c r="B42" s="59" t="n"/>
      <c r="C42" s="60" t="n"/>
      <c r="D42" s="60" t="n"/>
      <c r="E42" s="60" t="n"/>
      <c r="F42" s="59" t="n"/>
      <c r="G42" s="59" t="n"/>
      <c r="H42" s="61">
        <f>IF(OR(F42="",G42=""),"",F42*G42)</f>
        <v/>
      </c>
      <c r="I42" s="61">
        <f>IF(H42="","",IF(H42&gt;=6,"Alto",IF(H42&gt;=3,"Medio","Bajo")))</f>
        <v/>
      </c>
      <c r="J42" s="60" t="n"/>
      <c r="K42" s="60" t="n"/>
      <c r="L42" s="59" t="n"/>
      <c r="M42" s="60" t="n"/>
      <c r="N42" s="61">
        <f>IF(I42="","",IF(I42="Alto","Alta",IF(I42="Medio","Media","Baja")))</f>
        <v/>
      </c>
      <c r="O42" s="60" t="n"/>
      <c r="P42" s="59" t="n"/>
      <c r="Q42" s="59" t="n"/>
    </row>
    <row r="43" ht="15" customHeight="1" s="33">
      <c r="A43" s="58" t="inlineStr">
        <is>
          <t>R39</t>
        </is>
      </c>
      <c r="B43" s="59" t="n"/>
      <c r="C43" s="60" t="n"/>
      <c r="D43" s="60" t="n"/>
      <c r="E43" s="60" t="n"/>
      <c r="F43" s="59" t="n"/>
      <c r="G43" s="59" t="n"/>
      <c r="H43" s="61">
        <f>IF(OR(F43="",G43=""),"",F43*G43)</f>
        <v/>
      </c>
      <c r="I43" s="61">
        <f>IF(H43="","",IF(H43&gt;=6,"Alto",IF(H43&gt;=3,"Medio","Bajo")))</f>
        <v/>
      </c>
      <c r="J43" s="60" t="n"/>
      <c r="K43" s="60" t="n"/>
      <c r="L43" s="59" t="n"/>
      <c r="M43" s="60" t="n"/>
      <c r="N43" s="61">
        <f>IF(I43="","",IF(I43="Alto","Alta",IF(I43="Medio","Media","Baja")))</f>
        <v/>
      </c>
      <c r="O43" s="60" t="n"/>
      <c r="P43" s="59" t="n"/>
      <c r="Q43" s="59" t="n"/>
    </row>
    <row r="44" ht="15" customHeight="1" s="33">
      <c r="A44" s="58" t="inlineStr">
        <is>
          <t>R40</t>
        </is>
      </c>
      <c r="B44" s="59" t="n"/>
      <c r="C44" s="60" t="n"/>
      <c r="D44" s="60" t="n"/>
      <c r="E44" s="60" t="n"/>
      <c r="F44" s="59" t="n"/>
      <c r="G44" s="59" t="n"/>
      <c r="H44" s="61">
        <f>IF(OR(F44="",G44=""),"",F44*G44)</f>
        <v/>
      </c>
      <c r="I44" s="61">
        <f>IF(H44="","",IF(H44&gt;=6,"Alto",IF(H44&gt;=3,"Medio","Bajo")))</f>
        <v/>
      </c>
      <c r="J44" s="60" t="n"/>
      <c r="K44" s="60" t="n"/>
      <c r="L44" s="59" t="n"/>
      <c r="M44" s="60" t="n"/>
      <c r="N44" s="61">
        <f>IF(I44="","",IF(I44="Alto","Alta",IF(I44="Medio","Media","Baja")))</f>
        <v/>
      </c>
      <c r="O44" s="60" t="n"/>
      <c r="P44" s="59" t="n"/>
      <c r="Q44" s="59" t="n"/>
    </row>
  </sheetData>
  <autoFilter ref="A4:Q44"/>
  <conditionalFormatting sqref="H5:H44">
    <cfRule type="expression" rank="0" priority="2" equalAverage="0" aboveAverage="0" dxfId="5" text="" percent="0" bottom="0">
      <formula>$I5="Alto"</formula>
    </cfRule>
    <cfRule type="expression" rank="0" priority="3" equalAverage="0" aboveAverage="0" dxfId="6" text="" percent="0" bottom="0">
      <formula>$I5="Medio"</formula>
    </cfRule>
    <cfRule type="expression" rank="0" priority="4" equalAverage="0" aboveAverage="0" dxfId="7" text="" percent="0" bottom="0">
      <formula>$I5="Bajo"</formula>
    </cfRule>
  </conditionalFormatting>
  <conditionalFormatting sqref="I5:I44">
    <cfRule type="expression" rank="0" priority="5" equalAverage="0" aboveAverage="0" dxfId="5" text="" percent="0" bottom="0">
      <formula>$I5="Alto"</formula>
    </cfRule>
    <cfRule type="expression" rank="0" priority="6" equalAverage="0" aboveAverage="0" dxfId="6" text="" percent="0" bottom="0">
      <formula>$I5="Medio"</formula>
    </cfRule>
    <cfRule type="expression" rank="0" priority="7" equalAverage="0" aboveAverage="0" dxfId="7" text="" percent="0" bottom="0">
      <formula>$I5="Bajo"</formula>
    </cfRule>
  </conditionalFormatting>
  <dataValidations count="5">
    <dataValidation sqref="B5:B44" showDropDown="0" showInputMessage="0" showErrorMessage="1" allowBlank="0" errorTitle="Tipo" error="Elijan Producto o Proyecto." type="list" errorStyle="stop" operator="between">
      <formula1>"Producto,Proyecto"</formula1>
      <formula2>0</formula2>
    </dataValidation>
    <dataValidation sqref="F5:G44" showDropDown="0" showInputMessage="0" showErrorMessage="1" allowBlank="0" errorTitle="Valor fuera de escala" error="Usen un entero de 1 a 3." type="whole" errorStyle="stop" operator="between">
      <formula1>1</formula1>
      <formula2>3</formula2>
    </dataValidation>
    <dataValidation sqref="J5:J44" showDropDown="0" showInputMessage="0" showErrorMessage="1" allowBlank="0" errorTitle="Respuesta" error="Elijan una respuesta de la lista." type="list" errorStyle="stop" operator="between">
      <formula1>"Mitigar con pruebas,Aceptar,Transferir,Plan de contingencia"</formula1>
      <formula2>0</formula2>
    </dataValidation>
    <dataValidation sqref="P5:P44" showDropDown="0" showInputMessage="0" showErrorMessage="1" allowBlank="0" errorTitle="Estado" error="Elijan un estado de la lista." type="list" errorStyle="stop" operator="between">
      <formula1>"Abierto,En mitigación,Mitigado,Materializado,Cerrado"</formula1>
      <formula2>0</formula2>
    </dataValidation>
    <dataValidation sqref="Q5:Q44" showDropDown="0" showInputMessage="0" showErrorMessage="1" allowBlank="0" errorTitle="Revisión" error="Elijan la entrega." type="list" errorStyle="stop" operator="between">
      <formula1>"Entrega 1,Entrega 2,Entrega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2"/>
    <col width="18" customWidth="1" style="32" min="3" max="5"/>
    <col width="3" customWidth="1" style="32" min="6" max="6"/>
    <col width="14" customWidth="1" style="32" min="7" max="7"/>
    <col width="40" customWidth="1" style="32" min="8" max="8"/>
  </cols>
  <sheetData>
    <row r="2" ht="22.05" customHeight="1" s="33">
      <c r="B2" s="48" t="inlineStr">
        <is>
          <t>Matriz de riesgos 3 × 3</t>
        </is>
      </c>
    </row>
    <row r="3" ht="15" customHeight="1" s="33">
      <c r="B3" s="36" t="inlineStr">
        <is>
          <t>Se calcula desde el «Registro de riesgos». Cada celda muestra el nivel (P × I) y la cantidad de riesgos.</t>
        </is>
      </c>
    </row>
    <row r="5" ht="15" customHeight="1" s="33">
      <c r="B5" s="62" t="inlineStr">
        <is>
          <t>Prob. \ Impacto</t>
        </is>
      </c>
      <c r="C5" s="50" t="inlineStr">
        <is>
          <t>Bajo (1)</t>
        </is>
      </c>
      <c r="D5" s="50" t="inlineStr">
        <is>
          <t>Medio (2)</t>
        </is>
      </c>
      <c r="E5" s="50" t="inlineStr">
        <is>
          <t>Alto (3)</t>
        </is>
      </c>
    </row>
    <row r="6" ht="48" customHeight="1" s="33">
      <c r="B6" s="50" t="inlineStr">
        <is>
          <t>Alta (3)</t>
        </is>
      </c>
      <c r="C6" s="54">
        <f>"3 · Medio"&amp;CHAR(10)&amp;COUNTIFS('Registro de riesgos'!$F$5:$F$44,3,'Registro de riesgos'!$G$5:$G$44,1)&amp;" riesgo(s)"</f>
        <v/>
      </c>
      <c r="D6" s="53">
        <f>"6 · Alto"&amp;CHAR(10)&amp;COUNTIFS('Registro de riesgos'!$F$5:$F$44,3,'Registro de riesgos'!$G$5:$G$44,2)&amp;" riesgo(s)"</f>
        <v/>
      </c>
      <c r="E6" s="53">
        <f>"9 · Alto"&amp;CHAR(10)&amp;COUNTIFS('Registro de riesgos'!$F$5:$F$44,3,'Registro de riesgos'!$G$5:$G$44,3)&amp;" riesgo(s)"</f>
        <v/>
      </c>
      <c r="G6" s="53" t="inlineStr">
        <is>
          <t>Alto</t>
        </is>
      </c>
      <c r="H6" s="42" t="inlineStr">
        <is>
          <t>6–9 · primero y a fondo</t>
        </is>
      </c>
    </row>
    <row r="7" ht="48" customHeight="1" s="33">
      <c r="B7" s="50" t="inlineStr">
        <is>
          <t>Media (2)</t>
        </is>
      </c>
      <c r="C7" s="55">
        <f>"2 · Bajo"&amp;CHAR(10)&amp;COUNTIFS('Registro de riesgos'!$F$5:$F$44,2,'Registro de riesgos'!$G$5:$G$44,1)&amp;" riesgo(s)"</f>
        <v/>
      </c>
      <c r="D7" s="54">
        <f>"4 · Medio"&amp;CHAR(10)&amp;COUNTIFS('Registro de riesgos'!$F$5:$F$44,2,'Registro de riesgos'!$G$5:$G$44,2)&amp;" riesgo(s)"</f>
        <v/>
      </c>
      <c r="E7" s="53">
        <f>"6 · Alto"&amp;CHAR(10)&amp;COUNTIFS('Registro de riesgos'!$F$5:$F$44,2,'Registro de riesgos'!$G$5:$G$44,3)&amp;" riesgo(s)"</f>
        <v/>
      </c>
      <c r="G7" s="54" t="inlineStr">
        <is>
          <t>Medio</t>
        </is>
      </c>
      <c r="H7" s="42" t="inlineStr">
        <is>
          <t>3–4 · técnica principal</t>
        </is>
      </c>
    </row>
    <row r="8" ht="48" customHeight="1" s="33">
      <c r="B8" s="50" t="inlineStr">
        <is>
          <t>Baja (1)</t>
        </is>
      </c>
      <c r="C8" s="55">
        <f>"1 · Bajo"&amp;CHAR(10)&amp;COUNTIFS('Registro de riesgos'!$F$5:$F$44,1,'Registro de riesgos'!$G$5:$G$44,1)&amp;" riesgo(s)"</f>
        <v/>
      </c>
      <c r="D8" s="55">
        <f>"2 · Bajo"&amp;CHAR(10)&amp;COUNTIFS('Registro de riesgos'!$F$5:$F$44,1,'Registro de riesgos'!$G$5:$G$44,2)&amp;" riesgo(s)"</f>
        <v/>
      </c>
      <c r="E8" s="54">
        <f>"3 · Medio"&amp;CHAR(10)&amp;COUNTIFS('Registro de riesgos'!$F$5:$F$44,1,'Registro de riesgos'!$G$5:$G$44,3)&amp;" riesgo(s)"</f>
        <v/>
      </c>
      <c r="G8" s="55" t="inlineStr">
        <is>
          <t>Bajo</t>
        </is>
      </c>
      <c r="H8" s="42" t="inlineStr">
        <is>
          <t>1–2 · mínimo o smoke</t>
        </is>
      </c>
    </row>
    <row r="10" ht="15" customHeight="1" s="33">
      <c r="B10" s="32" t="inlineStr">
        <is>
          <t>Impacto →  ·  ↑ Probabilidad</t>
        </is>
      </c>
    </row>
    <row r="12" ht="15" customHeight="1" s="33">
      <c r="B12" s="4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32" customWidth="1" style="32" min="2" max="2"/>
    <col width="16" customWidth="1" style="32" min="3" max="5"/>
  </cols>
  <sheetData>
    <row r="2" ht="22.05" customHeight="1" s="33">
      <c r="B2" s="48" t="inlineStr">
        <is>
          <t>Resumen por clasificación y tipo</t>
        </is>
      </c>
    </row>
    <row r="4" ht="15" customHeight="1" s="33">
      <c r="B4" s="50" t="inlineStr">
        <is>
          <t>Clasificación</t>
        </is>
      </c>
      <c r="C4" s="50" t="inlineStr">
        <is>
          <t>Producto</t>
        </is>
      </c>
      <c r="D4" s="50" t="inlineStr">
        <is>
          <t>Proyecto</t>
        </is>
      </c>
      <c r="E4" s="50" t="inlineStr">
        <is>
          <t>Total</t>
        </is>
      </c>
    </row>
    <row r="5" ht="15" customHeight="1" s="33">
      <c r="B5" s="53" t="inlineStr">
        <is>
          <t>Alto</t>
        </is>
      </c>
      <c r="C5" s="51">
        <f>COUNTIFS('Registro de riesgos'!$I$5:$I$44,"Alto",'Registro de riesgos'!$B$5:$B$44,"Producto")</f>
        <v/>
      </c>
      <c r="D5" s="51">
        <f>COUNTIFS('Registro de riesgos'!$I$5:$I$44,"Alto",'Registro de riesgos'!$B$5:$B$44,"Proyecto")</f>
        <v/>
      </c>
      <c r="E5" s="63">
        <f>C5+D5</f>
        <v/>
      </c>
    </row>
    <row r="6" ht="15" customHeight="1" s="33">
      <c r="B6" s="54" t="inlineStr">
        <is>
          <t>Medio</t>
        </is>
      </c>
      <c r="C6" s="51">
        <f>COUNTIFS('Registro de riesgos'!$I$5:$I$44,"Medio",'Registro de riesgos'!$B$5:$B$44,"Producto")</f>
        <v/>
      </c>
      <c r="D6" s="51">
        <f>COUNTIFS('Registro de riesgos'!$I$5:$I$44,"Medio",'Registro de riesgos'!$B$5:$B$44,"Proyecto")</f>
        <v/>
      </c>
      <c r="E6" s="63">
        <f>C6+D6</f>
        <v/>
      </c>
    </row>
    <row r="7" ht="15" customHeight="1" s="33">
      <c r="B7" s="55" t="inlineStr">
        <is>
          <t>Bajo</t>
        </is>
      </c>
      <c r="C7" s="51">
        <f>COUNTIFS('Registro de riesgos'!$I$5:$I$44,"Bajo",'Registro de riesgos'!$B$5:$B$44,"Producto")</f>
        <v/>
      </c>
      <c r="D7" s="51">
        <f>COUNTIFS('Registro de riesgos'!$I$5:$I$44,"Bajo",'Registro de riesgos'!$B$5:$B$44,"Proyecto")</f>
        <v/>
      </c>
      <c r="E7" s="63">
        <f>C7+D7</f>
        <v/>
      </c>
    </row>
    <row r="8" ht="15" customHeight="1" s="33">
      <c r="B8" s="50" t="inlineStr">
        <is>
          <t>Total</t>
        </is>
      </c>
      <c r="C8" s="63">
        <f>SUM(C5:C7)</f>
        <v/>
      </c>
      <c r="D8" s="63">
        <f>SUM(D5:D7)</f>
        <v/>
      </c>
      <c r="E8" s="63">
        <f>SUM(E5:E7)</f>
        <v/>
      </c>
    </row>
    <row r="10" ht="16.15" customHeight="1" s="33">
      <c r="B10" s="49" t="inlineStr">
        <is>
          <t>Mínimo para la Entrega 1</t>
        </is>
      </c>
    </row>
    <row r="11" ht="15" customHeight="1" s="33">
      <c r="B11" s="42" t="inlineStr">
        <is>
          <t>Riesgos de producto</t>
        </is>
      </c>
      <c r="C11" s="63">
        <f>C8</f>
        <v/>
      </c>
      <c r="D11" s="63">
        <f>IF(C11&gt;=8,"OK","Falta")</f>
        <v/>
      </c>
      <c r="E11" s="47" t="inlineStr">
        <is>
          <t>Meta: ≥ 8</t>
        </is>
      </c>
    </row>
    <row r="12" ht="15" customHeight="1" s="33">
      <c r="B12" s="42" t="inlineStr">
        <is>
          <t>Riesgos de proyecto</t>
        </is>
      </c>
      <c r="C12" s="63">
        <f>D8</f>
        <v/>
      </c>
      <c r="D12" s="63">
        <f>IF(C12&gt;=3,"OK","Falta")</f>
        <v/>
      </c>
      <c r="E12" s="47" t="inlineStr">
        <is>
          <t>Meta: ≥ 3</t>
        </is>
      </c>
    </row>
    <row r="13" ht="15" customHeight="1" s="33">
      <c r="B13" s="42" t="inlineStr">
        <is>
          <t>Altos/medios sin respuesta</t>
        </is>
      </c>
      <c r="C13" s="63">
        <f>COUNTIFS('Registro de riesgos'!$I$5:$I$44,"Alto",'Registro de riesgos'!$J$5:$J$44,"")+COUNTIFS('Registro de riesgos'!$I$5:$I$44,"Medio",'Registro de riesgos'!$J$5:$J$44,"")</f>
        <v/>
      </c>
      <c r="D13" s="63">
        <f>IF(C13=0,"OK","Falta")</f>
        <v/>
      </c>
      <c r="E13" s="47" t="inlineStr">
        <is>
          <t>Meta: 0</t>
        </is>
      </c>
    </row>
    <row r="14" ht="15" customHeight="1" s="33">
      <c r="B14" s="42" t="inlineStr">
        <is>
          <t>Altos de producto sin casos TestLink</t>
        </is>
      </c>
      <c r="C14" s="63">
        <f>COUNTIFS('Registro de riesgos'!$I$5:$I$44,"Alto",'Registro de riesgos'!$B$5:$B$44,"Producto",'Registro de riesgos'!$M$5:$M$44,"")</f>
        <v/>
      </c>
      <c r="D14" s="63">
        <f>IF(C14=0,"OK","Falta")</f>
        <v/>
      </c>
      <c r="E14" s="47" t="inlineStr">
        <is>
          <t>Meta: 0</t>
        </is>
      </c>
    </row>
  </sheetData>
  <conditionalFormatting sqref="D11:D14">
    <cfRule type="expression" rank="0" priority="2" equalAverage="0" aboveAverage="0" dxfId="7" text="" percent="0" bottom="0">
      <formula>D11="OK"</formula>
    </cfRule>
    <cfRule type="expression" rank="0" priority="3" equalAverage="0" aboveAverage="0" dxfId="5" text="" percent="0" bottom="0">
      <formula>D11="Falta"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2026-10-02T16:42:25Z</dcterms:created>
  <dcterms:modified xmlns:dcterms="http://purl.org/dc/terms/" xmlns:xsi="http://www.w3.org/2001/XMLSchema-instance" xsi:type="dcterms:W3CDTF">2026-10-21T22:47:53Z</dcterms:modified>
  <cp:revision>0</cp:revision>
</cp:coreProperties>
</file>